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Инна\YandexDisk-NiferGirl\000 БАНК БЛАНКОВ\2 Заявление на отпуск\"/>
    </mc:Choice>
  </mc:AlternateContent>
  <xr:revisionPtr revIDLastSave="0" documentId="13_ncr:1_{6EA2FF68-3D9E-4C3D-8247-C73D925F46C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Отпуск" sheetId="1" r:id="rId1"/>
    <sheet name="Лист2" sheetId="2" state="hidden" r:id="rId2"/>
    <sheet name="People" sheetId="3" state="hidden" r:id="rId3"/>
  </sheets>
  <functionGroups builtInGroupCount="19"/>
  <externalReferences>
    <externalReference r:id="rId4"/>
  </externalReferences>
  <definedNames>
    <definedName name="_xlnm.Print_Area" localSheetId="0">Отпуск!$A$1:$J$47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2" i="1" l="1"/>
  <c r="M21" i="1"/>
  <c r="G42" i="1"/>
  <c r="M17" i="1" s="1"/>
  <c r="E25" i="1" l="1"/>
  <c r="A1" i="3"/>
  <c r="B1" i="3"/>
  <c r="A2" i="3"/>
  <c r="B2" i="3"/>
  <c r="A3" i="3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107" i="3"/>
  <c r="B107" i="3"/>
  <c r="A108" i="3"/>
  <c r="B108" i="3"/>
  <c r="A109" i="3"/>
  <c r="B109" i="3"/>
  <c r="A110" i="3"/>
  <c r="B110" i="3"/>
  <c r="A111" i="3"/>
  <c r="B111" i="3"/>
  <c r="A112" i="3"/>
  <c r="B112" i="3"/>
  <c r="A113" i="3"/>
  <c r="B113" i="3"/>
  <c r="A114" i="3"/>
  <c r="B114" i="3"/>
  <c r="A115" i="3"/>
  <c r="B115" i="3"/>
  <c r="A116" i="3"/>
  <c r="B116" i="3"/>
  <c r="A117" i="3"/>
  <c r="B117" i="3"/>
  <c r="A118" i="3"/>
  <c r="B118" i="3"/>
  <c r="A119" i="3"/>
  <c r="B119" i="3"/>
  <c r="F4" i="1" l="1"/>
  <c r="F5" i="1"/>
  <c r="L4" i="1"/>
  <c r="B42" i="1"/>
</calcChain>
</file>

<file path=xl/sharedStrings.xml><?xml version="1.0" encoding="utf-8"?>
<sst xmlns="http://schemas.openxmlformats.org/spreadsheetml/2006/main" count="246" uniqueCount="157">
  <si>
    <t>Москвитину Александру Семеновичу</t>
  </si>
  <si>
    <t>З А Я В Л Е Н И Е</t>
  </si>
  <si>
    <t>Прошу Вас предоставить мне очередной оплачиваемый отпуск</t>
  </si>
  <si>
    <t>с</t>
  </si>
  <si>
    <t>по</t>
  </si>
  <si>
    <t xml:space="preserve">в количестве </t>
  </si>
  <si>
    <t xml:space="preserve"> календарных дней.</t>
  </si>
  <si>
    <t xml:space="preserve">дата  </t>
  </si>
  <si>
    <t>(подпись)</t>
  </si>
  <si>
    <t>(расшифровка)</t>
  </si>
  <si>
    <t>вид отпуска</t>
  </si>
  <si>
    <t xml:space="preserve">Прошу Вас предоставить мне отпуск без сохранения заработной платы </t>
  </si>
  <si>
    <t>Афанасьев Олег Михайлович</t>
  </si>
  <si>
    <t>Генеральному директору</t>
  </si>
  <si>
    <t>ООО "Технология"</t>
  </si>
  <si>
    <t>Абдуллаева Рустама Магомедовича</t>
  </si>
  <si>
    <t>Айбатова Жанибека Отепбергеновича</t>
  </si>
  <si>
    <t>Афанасьева Олега Михайловича</t>
  </si>
  <si>
    <t>Бахиева Руслана Бернауперниевича</t>
  </si>
  <si>
    <t>Виневцева Сергея Валентиновича</t>
  </si>
  <si>
    <t>Дрижинского Михаила Александровича</t>
  </si>
  <si>
    <t>Дровосекова Степана Алексеевича</t>
  </si>
  <si>
    <t>Ефимчикова Максима Михайловича</t>
  </si>
  <si>
    <t>Жамилжанова Бахадира Жамилжана Ули</t>
  </si>
  <si>
    <t>Ибиева Габибуллы Гаджимурадовича</t>
  </si>
  <si>
    <t>Ибиева Идриса Рабадановича</t>
  </si>
  <si>
    <t>Ибиева Навруза Исмуллаевича</t>
  </si>
  <si>
    <t>Клюевой Дарьи Анатольевны</t>
  </si>
  <si>
    <t>Кузьминой Татьяны Вячеславовны</t>
  </si>
  <si>
    <t>Лапицкого Андрея Михайловича</t>
  </si>
  <si>
    <t>Лисицкой Ирины Николаевны</t>
  </si>
  <si>
    <t>Ляшенко Дмитрия Григорьевича</t>
  </si>
  <si>
    <t>Москвитина Александра Семеновича</t>
  </si>
  <si>
    <t>Москвитиной Ольги Сергеевны</t>
  </si>
  <si>
    <t>Патетько Сергея Геннадьевича</t>
  </si>
  <si>
    <t>Петрова Алексея Константиновича</t>
  </si>
  <si>
    <t>Ракитина Сергея Александровича</t>
  </si>
  <si>
    <t>Раметова Руслана Базарбаевича</t>
  </si>
  <si>
    <t>Сагийдуллаева Шарапата Омаровича</t>
  </si>
  <si>
    <t>Самадова Шарафиддина Эшмаматовича</t>
  </si>
  <si>
    <t>Старостиной Натальи Юрьевны</t>
  </si>
  <si>
    <t>Супруновой Елены Юрьевны</t>
  </si>
  <si>
    <t>Турсинбекова Исламбек Адилбай ули</t>
  </si>
  <si>
    <t>Уразбаева Рустема Шарибаевича</t>
  </si>
  <si>
    <t>Федоровой Дарьи Александровны</t>
  </si>
  <si>
    <t>Хлань Алексея Юрьевича</t>
  </si>
  <si>
    <t>Холова Сангали Махмадюнусовича</t>
  </si>
  <si>
    <t>Шуберта Юрия Станиславовича</t>
  </si>
  <si>
    <t>Ибиева Эсена Рабадановича</t>
  </si>
  <si>
    <t>Магомедова Магомеда Салиховича</t>
  </si>
  <si>
    <t>Расулова Шихмагомеда Шараповича</t>
  </si>
  <si>
    <t xml:space="preserve">Балуева Алексея Александровича </t>
  </si>
  <si>
    <t>Балуева Семена Алексеевича</t>
  </si>
  <si>
    <t xml:space="preserve">Быковских Дмитрия Сергеевича </t>
  </si>
  <si>
    <t xml:space="preserve">Аскандарова Аскандара Лукмановича </t>
  </si>
  <si>
    <t>Гусейнова Максима Гираевича</t>
  </si>
  <si>
    <t>Сазонова Вячеслава Борисовича</t>
  </si>
  <si>
    <t>Семенцова Александра Сергеевича</t>
  </si>
  <si>
    <t xml:space="preserve">Ламбринова Николая Фёдоровича </t>
  </si>
  <si>
    <t>Беленкова Александра Владимировича</t>
  </si>
  <si>
    <t xml:space="preserve">Турешова Азатбая Даулетбаевича </t>
  </si>
  <si>
    <t>Торемуратова Мухтарбая Базарбаевича</t>
  </si>
  <si>
    <t>Меркулова Виктора Николаевича</t>
  </si>
  <si>
    <t>Магомедова Мурада Абдулаевича</t>
  </si>
  <si>
    <t>Аблаевой Виктории Николаевны</t>
  </si>
  <si>
    <t xml:space="preserve">Даулетбаева Сагийтжана Бахытжановича </t>
  </si>
  <si>
    <t>Ибиева Рабадана Эсеновича</t>
  </si>
  <si>
    <t>Омарова Ахмеда Абдулкадировича</t>
  </si>
  <si>
    <t>Раджабова Арслана Шапиевича</t>
  </si>
  <si>
    <t>Якшибаева Даулета Булатовича</t>
  </si>
  <si>
    <t>Мастера</t>
  </si>
  <si>
    <t>Подсобного рабочего</t>
  </si>
  <si>
    <t>Производителя работ</t>
  </si>
  <si>
    <t>Кровельщика</t>
  </si>
  <si>
    <t>Гидроизолировщика</t>
  </si>
  <si>
    <t xml:space="preserve">менеджера по персоналу </t>
  </si>
  <si>
    <t>Коменданта</t>
  </si>
  <si>
    <t>Главного инженера</t>
  </si>
  <si>
    <t>Заместителя генерального директора по персоналу</t>
  </si>
  <si>
    <t>Помощника кладовщика</t>
  </si>
  <si>
    <t>Генерального директора</t>
  </si>
  <si>
    <t>Коммерческого директора</t>
  </si>
  <si>
    <t>Кладовщика</t>
  </si>
  <si>
    <t>Инженера ПТО</t>
  </si>
  <si>
    <t>Аналитика</t>
  </si>
  <si>
    <t>Заместителя генерального директора по финансам и экономике</t>
  </si>
  <si>
    <t>Техника ПТО</t>
  </si>
  <si>
    <t>инженера</t>
  </si>
  <si>
    <t xml:space="preserve">монтажника- высотника </t>
  </si>
  <si>
    <t>Помощника директора</t>
  </si>
  <si>
    <t>Бобрикова Евгения Валерьевича</t>
  </si>
  <si>
    <t>Останина Сергея Геннадиевича</t>
  </si>
  <si>
    <t xml:space="preserve">Анисимова Дмитрия Юрьевича </t>
  </si>
  <si>
    <t xml:space="preserve">Ирбулина Сергея Игоревича </t>
  </si>
  <si>
    <t>Котова Ивана Александровича</t>
  </si>
  <si>
    <t>Семенова Геннадия Александровича</t>
  </si>
  <si>
    <t>Скавронского Алексея Ивановича</t>
  </si>
  <si>
    <t>Барсукова Михаила Николаевича</t>
  </si>
  <si>
    <t>Устиновой Анастасии Алексеевны</t>
  </si>
  <si>
    <t>Кострикина Юрия Владимировича</t>
  </si>
  <si>
    <t>Аммаева Романа Магомедовича  (сроча.)</t>
  </si>
  <si>
    <t>Осепенко Владимира Викторовича  (сроча.)</t>
  </si>
  <si>
    <t>Кореньчука Павла Владимировича</t>
  </si>
  <si>
    <t>Стяжечника</t>
  </si>
  <si>
    <t>Начальника участка</t>
  </si>
  <si>
    <t>Руководителя проекта</t>
  </si>
  <si>
    <t>Инженера-сметчика</t>
  </si>
  <si>
    <t>Лисицкая Ирина Николаевна</t>
  </si>
  <si>
    <t>26.05.2022</t>
  </si>
  <si>
    <t>10.06.2022</t>
  </si>
  <si>
    <t>Запорожана Алексея Ивановича</t>
  </si>
  <si>
    <t>Полянских Александра Ивановича</t>
  </si>
  <si>
    <t>Рыбакова Игоря Вячеславовича</t>
  </si>
  <si>
    <t>Ласунина Владимира Васильевича</t>
  </si>
  <si>
    <t>Болтабоева Хурсандбека  Кучкаровича</t>
  </si>
  <si>
    <t>Иванченко Юрия Николаевича</t>
  </si>
  <si>
    <t>Бахвалова Евгения Александровича</t>
  </si>
  <si>
    <t>Запорожана Виталия Алексеевича</t>
  </si>
  <si>
    <t>Мирзамуратова Полата Алламбергеновича</t>
  </si>
  <si>
    <t>Нусратова Фаридуна Тураджоновича</t>
  </si>
  <si>
    <t xml:space="preserve">Лутфулоев Убайдуло </t>
  </si>
  <si>
    <t>Чалолзоды Саймидина</t>
  </si>
  <si>
    <t>Шаволь Неъматулло</t>
  </si>
  <si>
    <t>Нусратова Далера Маъруфджоновича</t>
  </si>
  <si>
    <t>Красноруцкой Екакатерины Юрьевны</t>
  </si>
  <si>
    <t>Джобирова Абдумуталиба Аловдиновича</t>
  </si>
  <si>
    <t>Исроилова Сиротулло Абдухафизовича</t>
  </si>
  <si>
    <t>Табинбаева Бекзода Мажита Угли</t>
  </si>
  <si>
    <t>Давлатова Курбонали Шарофидиновича</t>
  </si>
  <si>
    <t>Абдулваххобова Абдулхамида Пулодовича</t>
  </si>
  <si>
    <t>Комилджони Мирзомудина</t>
  </si>
  <si>
    <t>Махмудова Асадулло Хабибовича</t>
  </si>
  <si>
    <t>Нурова Эмомали Рамазоновича</t>
  </si>
  <si>
    <t>Халимзоды Шукрулло Саъди</t>
  </si>
  <si>
    <t xml:space="preserve">Шохруков Хикматулло </t>
  </si>
  <si>
    <t>Хасанова Парвиза Сайджафаровича</t>
  </si>
  <si>
    <t>Усмонзоды Фирдавсии Мехрубона</t>
  </si>
  <si>
    <t>Крюкова Виталия Андреевича</t>
  </si>
  <si>
    <t>Горулева Сергея Александровича</t>
  </si>
  <si>
    <t>Астайкина Юрия Николаевича</t>
  </si>
  <si>
    <t>Бухгалтера</t>
  </si>
  <si>
    <t>Киселевой Марии Алексеевны</t>
  </si>
  <si>
    <t>Фаёзова Кобилчона Комилчоновича</t>
  </si>
  <si>
    <t>Матжанова Тазабая Шарибаевича</t>
  </si>
  <si>
    <t>Лакаева Махмадсобира Махмадшарифовича</t>
  </si>
  <si>
    <t>Курбонова Айниддина Абдулвосеъовича</t>
  </si>
  <si>
    <t>Мирзоалиева Бобошоха Мирзомудиновича</t>
  </si>
  <si>
    <t>Белоусова Романа Александровича</t>
  </si>
  <si>
    <t>Рыбалки Петра Анатольевича</t>
  </si>
  <si>
    <t>Курбонова Ахлиддина Абдулвосеъовича</t>
  </si>
  <si>
    <t>Ахмадова Абдулмумина Абдулманоновича</t>
  </si>
  <si>
    <t>Ворониной Юлии Сергеевны</t>
  </si>
  <si>
    <t>Шарипова Рустама Хайдаровича</t>
  </si>
  <si>
    <t>Шарифова Бахриддина Давлахмадовича</t>
  </si>
  <si>
    <t>Нуралиева Максудали Назаровича</t>
  </si>
  <si>
    <t>Халилова Муборакшо Алимардоновича</t>
  </si>
  <si>
    <t>Инженета пто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</si>
</sst>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4"/>
      <color theme="0"/>
      <name val="Times New Roman"/>
      <family val="1"/>
      <charset val="204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Fill="1" applyBorder="1"/>
    <xf numFmtId="0" fontId="0" fillId="0" borderId="0" xfId="0"/>
    <xf numFmtId="0" fontId="2" fillId="0" borderId="1" xfId="0" applyFont="1" applyBorder="1" applyAlignment="1" applyProtection="1">
      <alignment horizontal="center"/>
      <protection hidden="1"/>
    </xf>
    <xf numFmtId="1" fontId="4" fillId="0" borderId="3" xfId="0" applyNumberFormat="1" applyFont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4" fillId="0" borderId="0" xfId="0" applyFont="1" applyAlignment="1" applyProtection="1">
      <alignment horizontal="right"/>
      <protection hidden="1"/>
    </xf>
    <xf numFmtId="0" fontId="1" fillId="0" borderId="0" xfId="0" applyFont="1" applyAlignment="1" applyProtection="1">
      <alignment vertical="top"/>
      <protection hidden="1"/>
    </xf>
    <xf numFmtId="0" fontId="2" fillId="0" borderId="0" xfId="0" applyFont="1" applyProtection="1">
      <protection hidden="1"/>
    </xf>
    <xf numFmtId="0" fontId="7" fillId="0" borderId="0" xfId="0" applyFont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 vertical="top"/>
      <protection hidden="1"/>
    </xf>
    <xf numFmtId="0" fontId="0" fillId="0" borderId="0" xfId="0"/>
    <xf numFmtId="0" fontId="0" fillId="0" borderId="0" xfId="0"/>
    <xf numFmtId="0" fontId="4" fillId="0" borderId="0" xfId="0" applyFont="1" applyAlignment="1" applyProtection="1">
      <alignment vertical="center"/>
      <protection hidden="1"/>
    </xf>
    <xf numFmtId="0" fontId="4" fillId="3" borderId="0" xfId="0" applyFont="1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8" fillId="0" borderId="0" xfId="0" applyFont="1"/>
    <xf numFmtId="0" fontId="8" fillId="0" borderId="0" xfId="0" applyFont="1" applyFill="1" applyBorder="1"/>
    <xf numFmtId="0" fontId="9" fillId="0" borderId="0" xfId="0" applyFont="1"/>
    <xf numFmtId="14" fontId="8" fillId="0" borderId="0" xfId="0" applyNumberFormat="1" applyFont="1"/>
    <xf numFmtId="0" fontId="10" fillId="0" borderId="0" xfId="0" applyFont="1" applyAlignment="1" applyProtection="1">
      <alignment vertical="center"/>
      <protection hidden="1"/>
    </xf>
    <xf numFmtId="0" fontId="10" fillId="0" borderId="0" xfId="0" applyFont="1" applyProtection="1">
      <protection hidden="1"/>
    </xf>
    <xf numFmtId="0" fontId="10" fillId="0" borderId="0" xfId="0" applyFont="1" applyAlignment="1" applyProtection="1">
      <alignment horizontal="right" vertical="center"/>
      <protection hidden="1"/>
    </xf>
    <xf numFmtId="0" fontId="10" fillId="0" borderId="0" xfId="0" applyFont="1" applyBorder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protection hidden="1"/>
    </xf>
    <xf numFmtId="0" fontId="11" fillId="0" borderId="0" xfId="0" applyFont="1"/>
    <xf numFmtId="0" fontId="4" fillId="0" borderId="1" xfId="0" applyFont="1" applyBorder="1" applyAlignment="1" applyProtection="1">
      <alignment horizontal="left" vertical="center" wrapText="1"/>
      <protection hidden="1"/>
    </xf>
    <xf numFmtId="0" fontId="4" fillId="0" borderId="1" xfId="0" applyFont="1" applyBorder="1" applyAlignment="1" applyProtection="1">
      <alignment horizontal="left" vertical="center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top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top"/>
      <protection hidden="1"/>
    </xf>
    <xf numFmtId="0" fontId="4" fillId="0" borderId="6" xfId="0" applyFont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14" fontId="2" fillId="0" borderId="1" xfId="0" applyNumberFormat="1" applyFont="1" applyBorder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center"/>
      <protection hidden="1"/>
    </xf>
    <xf numFmtId="0" fontId="8" fillId="0" borderId="0" xfId="0" applyFont="1" applyFill="1" applyBorder="1" applyAlignment="1">
      <alignment horizontal="center"/>
    </xf>
    <xf numFmtId="14" fontId="6" fillId="2" borderId="4" xfId="0" applyNumberFormat="1" applyFont="1" applyFill="1" applyBorder="1" applyAlignment="1" applyProtection="1">
      <alignment horizontal="center"/>
      <protection hidden="1"/>
    </xf>
    <xf numFmtId="14" fontId="6" fillId="2" borderId="5" xfId="0" applyNumberFormat="1" applyFont="1" applyFill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top"/>
      <protection hidden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297657</xdr:colOff>
      <xdr:row>9</xdr:row>
      <xdr:rowOff>119061</xdr:rowOff>
    </xdr:from>
    <xdr:to>
      <xdr:col>15</xdr:col>
      <xdr:colOff>440531</xdr:colOff>
      <xdr:row>16</xdr:row>
      <xdr:rowOff>0</xdr:rowOff>
    </xdr:to>
    <xdr:sp macro="[0]!CommandButton1_Click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24688" y="2285999"/>
          <a:ext cx="3178968" cy="127397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2000">
              <a:latin typeface="Times New Roman" pitchFamily="18" charset="0"/>
              <a:cs typeface="Times New Roman" pitchFamily="18" charset="0"/>
            </a:rPr>
            <a:t>Жми</a:t>
          </a:r>
          <a:r>
            <a:rPr lang="ru-RU" sz="2000" baseline="0">
              <a:latin typeface="Times New Roman" pitchFamily="18" charset="0"/>
              <a:cs typeface="Times New Roman" pitchFamily="18" charset="0"/>
            </a:rPr>
            <a:t> сюда, чтобы заполнить заявление на отпуск=)</a:t>
          </a:r>
        </a:p>
        <a:p>
          <a:pPr algn="ctr"/>
          <a:endParaRPr lang="ru-RU" sz="20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8;&#1085;&#1085;&#1072;/YandexDisk-NiferGirl/&#1055;&#1061;&#1048;%202022/000%20&#1044;&#1086;&#1085;&#1086;&#108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DSheet"/>
      <sheetName val="Лист1"/>
      <sheetName val="Лист2"/>
    </sheetNames>
    <sheetDataSet>
      <sheetData sheetId="0">
        <row r="2">
          <cell r="A2" t="str">
            <v>Абдуллаев Рустам Магомедович</v>
          </cell>
          <cell r="B2" t="str">
            <v>Мастер</v>
          </cell>
        </row>
        <row r="3">
          <cell r="A3" t="str">
            <v>Айбатов Жанибек Отепбергенович</v>
          </cell>
          <cell r="B3" t="str">
            <v>Подсобный рабочий</v>
          </cell>
        </row>
        <row r="4">
          <cell r="A4" t="str">
            <v>Аммаев Роман Магомедович  (сроч.)</v>
          </cell>
          <cell r="B4" t="str">
            <v>Производитель работ</v>
          </cell>
        </row>
        <row r="5">
          <cell r="A5" t="str">
            <v>Афанасьев Олег Михайлович</v>
          </cell>
          <cell r="B5" t="str">
            <v>Кровельщик</v>
          </cell>
        </row>
        <row r="6">
          <cell r="A6" t="str">
            <v>Бахиев Руслан Бернауперниевич</v>
          </cell>
          <cell r="B6" t="str">
            <v>Гидроизолировщик</v>
          </cell>
        </row>
        <row r="7">
          <cell r="A7" t="str">
            <v>Виневцев Сергей Валентинович</v>
          </cell>
          <cell r="B7" t="str">
            <v>Производитель работ</v>
          </cell>
        </row>
        <row r="8">
          <cell r="A8" t="str">
            <v>Дрижинский Михаил Александрович</v>
          </cell>
          <cell r="B8" t="str">
            <v>Мастер</v>
          </cell>
        </row>
        <row r="9">
          <cell r="A9" t="str">
            <v>Дровосеков Степан Алексеевич</v>
          </cell>
          <cell r="B9" t="str">
            <v>Мастер</v>
          </cell>
        </row>
        <row r="10">
          <cell r="A10" t="str">
            <v>Ефимчиков Максим Михайлович</v>
          </cell>
          <cell r="B10" t="str">
            <v>Мастер</v>
          </cell>
        </row>
        <row r="11">
          <cell r="A11" t="str">
            <v>Жамилжанов Бахадир Жамилжан Ули</v>
          </cell>
          <cell r="B11" t="str">
            <v>Подсобный рабочий</v>
          </cell>
        </row>
        <row r="12">
          <cell r="A12" t="str">
            <v>Ибиев Габибулла Гаджимурадович</v>
          </cell>
          <cell r="B12" t="str">
            <v>Кровельщик</v>
          </cell>
        </row>
        <row r="13">
          <cell r="A13" t="str">
            <v>Ибиев Идрис Рабаданович</v>
          </cell>
          <cell r="B13" t="str">
            <v>Кровельщик</v>
          </cell>
        </row>
        <row r="14">
          <cell r="A14" t="str">
            <v>Ибиев Навруз Исмуллаевич</v>
          </cell>
          <cell r="B14" t="str">
            <v>Кровельщик</v>
          </cell>
        </row>
        <row r="15">
          <cell r="A15" t="str">
            <v>Клюева Дарья Анатольевна</v>
          </cell>
          <cell r="B15" t="str">
            <v xml:space="preserve">менеджер по персоналу </v>
          </cell>
        </row>
        <row r="16">
          <cell r="A16" t="str">
            <v>Кузьмина Татьяна Вячеславовна</v>
          </cell>
          <cell r="B16" t="str">
            <v>Комендант</v>
          </cell>
        </row>
        <row r="17">
          <cell r="A17" t="str">
            <v>Лапицкий Андрей Михайлович</v>
          </cell>
          <cell r="B17" t="str">
            <v>Главный инженер</v>
          </cell>
        </row>
        <row r="18">
          <cell r="A18" t="str">
            <v>Лисицкая Ирина Николаевна</v>
          </cell>
          <cell r="B18" t="str">
            <v>Заместитель генерального директора по персоналу</v>
          </cell>
        </row>
        <row r="19">
          <cell r="A19" t="str">
            <v>Ляшенко Дмитрий Григорьевич</v>
          </cell>
          <cell r="B19" t="str">
            <v>Помощник кладовщика</v>
          </cell>
        </row>
        <row r="20">
          <cell r="A20" t="str">
            <v>Москвитин Александр Семенович</v>
          </cell>
          <cell r="B20" t="str">
            <v>Генеральный директор</v>
          </cell>
        </row>
        <row r="21">
          <cell r="A21" t="str">
            <v>Москвитина Ольга Сергеевна</v>
          </cell>
          <cell r="B21" t="str">
            <v>Коммерческий директор</v>
          </cell>
        </row>
        <row r="22">
          <cell r="A22" t="str">
            <v>Осепенко Владимир Викторович  (сроч.)</v>
          </cell>
          <cell r="B22" t="str">
            <v>Мастер</v>
          </cell>
        </row>
        <row r="23">
          <cell r="A23" t="str">
            <v>Патетько Сергей Геннадьевич</v>
          </cell>
          <cell r="B23" t="str">
            <v>Кладовщик</v>
          </cell>
        </row>
        <row r="24">
          <cell r="A24" t="str">
            <v>Петров Алексей Константинович</v>
          </cell>
          <cell r="B24" t="str">
            <v>Инженер ПТО</v>
          </cell>
        </row>
        <row r="25">
          <cell r="A25" t="str">
            <v>Ракитин Сергей Александрович</v>
          </cell>
          <cell r="B25" t="str">
            <v>Кровельщик</v>
          </cell>
        </row>
        <row r="26">
          <cell r="A26" t="str">
            <v>Раметов Руслан Базарбаевич</v>
          </cell>
          <cell r="B26" t="str">
            <v>Подсобный рабочий</v>
          </cell>
        </row>
        <row r="27">
          <cell r="A27" t="str">
            <v>Сагийдуллаев Шарапат Омарович</v>
          </cell>
          <cell r="B27" t="str">
            <v>Гидроизолировщик</v>
          </cell>
        </row>
        <row r="28">
          <cell r="A28" t="str">
            <v>Самадов Шарафиддин Эшмаматович</v>
          </cell>
          <cell r="B28" t="str">
            <v>Подсобный рабочий</v>
          </cell>
        </row>
        <row r="29">
          <cell r="A29" t="str">
            <v>Старостина Наталья Юрьевна</v>
          </cell>
          <cell r="B29" t="str">
            <v>Аналитик</v>
          </cell>
        </row>
        <row r="30">
          <cell r="A30" t="str">
            <v>Супрунова Елена Юрьевна</v>
          </cell>
          <cell r="B30" t="str">
            <v>Заместитель генерального директора по финансам и экономике</v>
          </cell>
        </row>
        <row r="31">
          <cell r="A31" t="str">
            <v>Турсинбеков Исламбек Адилбай ули</v>
          </cell>
          <cell r="B31" t="str">
            <v>Подсобный рабочий</v>
          </cell>
        </row>
        <row r="32">
          <cell r="A32" t="str">
            <v>Уразбаев Рустем Шарибаевич</v>
          </cell>
          <cell r="B32" t="str">
            <v>Подсобный рабочий</v>
          </cell>
        </row>
        <row r="33">
          <cell r="A33" t="str">
            <v>Федорова Дарья Александровна</v>
          </cell>
          <cell r="B33" t="str">
            <v>Техник ПТО</v>
          </cell>
        </row>
        <row r="34">
          <cell r="A34" t="str">
            <v>Хлань Алексей Юрьевич</v>
          </cell>
          <cell r="B34" t="str">
            <v>Производитель работ</v>
          </cell>
        </row>
        <row r="35">
          <cell r="A35" t="str">
            <v>Холов Сангали Махмадюнусович</v>
          </cell>
          <cell r="B35" t="str">
            <v>Подсобный рабочий</v>
          </cell>
        </row>
        <row r="36">
          <cell r="A36" t="str">
            <v>Шуберт Юрий Станиславович</v>
          </cell>
          <cell r="B36" t="str">
            <v>Кровельщик</v>
          </cell>
        </row>
        <row r="37">
          <cell r="A37" t="str">
            <v>Ибиев Эсен Рабаданович</v>
          </cell>
          <cell r="B37" t="str">
            <v>Кровельщик</v>
          </cell>
        </row>
        <row r="38">
          <cell r="A38" t="str">
            <v>Магомедов Магомед Салихович</v>
          </cell>
          <cell r="B38" t="str">
            <v>Кровельщик</v>
          </cell>
        </row>
        <row r="39">
          <cell r="A39" t="str">
            <v>Расулов Шихмагомед Шарапович</v>
          </cell>
          <cell r="B39" t="str">
            <v>Кровельщик</v>
          </cell>
        </row>
        <row r="40">
          <cell r="A40" t="str">
            <v xml:space="preserve">Балуев Алексей Александрович </v>
          </cell>
          <cell r="B40" t="str">
            <v>инженер</v>
          </cell>
        </row>
        <row r="41">
          <cell r="A41" t="str">
            <v>Балуев Семен Алексеевич</v>
          </cell>
          <cell r="B41" t="str">
            <v xml:space="preserve">монтажник- высотник </v>
          </cell>
        </row>
        <row r="42">
          <cell r="A42" t="str">
            <v xml:space="preserve">Быковских Дмитрий Сергеевич </v>
          </cell>
          <cell r="B42" t="str">
            <v xml:space="preserve">монтажник- высотник </v>
          </cell>
        </row>
        <row r="43">
          <cell r="A43" t="str">
            <v xml:space="preserve">Аскандаров Аскандар Лукманович </v>
          </cell>
          <cell r="B43" t="str">
            <v xml:space="preserve">монтажник- высотник </v>
          </cell>
        </row>
        <row r="44">
          <cell r="A44" t="str">
            <v>Гусейнов Максим Гираевич</v>
          </cell>
          <cell r="B44" t="str">
            <v xml:space="preserve">монтажник- высотник </v>
          </cell>
        </row>
        <row r="45">
          <cell r="A45" t="str">
            <v>Сазонов Вячеслав Борисович</v>
          </cell>
          <cell r="B45" t="str">
            <v xml:space="preserve">монтажник- высотник </v>
          </cell>
        </row>
        <row r="46">
          <cell r="A46" t="str">
            <v>Семенцов Александр Сергеевич</v>
          </cell>
          <cell r="B46" t="str">
            <v>Гидроизолировщик</v>
          </cell>
        </row>
        <row r="47">
          <cell r="A47" t="str">
            <v xml:space="preserve">Ламбринов Николай Фёдорович </v>
          </cell>
          <cell r="B47" t="str">
            <v>Подсобный рабочий</v>
          </cell>
        </row>
        <row r="48">
          <cell r="A48" t="str">
            <v>Беленков Александр Владимирович</v>
          </cell>
          <cell r="B48" t="str">
            <v>Кровельщик</v>
          </cell>
        </row>
        <row r="49">
          <cell r="A49" t="str">
            <v xml:space="preserve">Турешов Азатбай Даулетбаевич </v>
          </cell>
          <cell r="B49" t="str">
            <v>Подсобный рабочий</v>
          </cell>
        </row>
        <row r="50">
          <cell r="A50" t="str">
            <v>Торемуратов Мухтарбай Базарбаевич</v>
          </cell>
          <cell r="B50" t="str">
            <v>Подсобный рабочий</v>
          </cell>
        </row>
        <row r="51">
          <cell r="A51" t="str">
            <v>Меркулов Виктор Николаевич</v>
          </cell>
          <cell r="B51" t="str">
            <v>Подсобный рабочий</v>
          </cell>
        </row>
        <row r="52">
          <cell r="A52" t="str">
            <v>Магомедов Мурад Абдулаевич</v>
          </cell>
          <cell r="B52" t="str">
            <v>Подсобный рабочий</v>
          </cell>
        </row>
        <row r="53">
          <cell r="A53" t="str">
            <v>Аблаева Виктория Николаевна</v>
          </cell>
          <cell r="B53" t="str">
            <v>Помощник директора</v>
          </cell>
        </row>
        <row r="54">
          <cell r="A54" t="str">
            <v xml:space="preserve">Даулетбаев Сагийтжан Бахытжанович </v>
          </cell>
          <cell r="B54" t="str">
            <v>Подсобный рабочий</v>
          </cell>
        </row>
        <row r="55">
          <cell r="A55" t="str">
            <v>Ибиев Рабадан Эсенович</v>
          </cell>
          <cell r="B55" t="str">
            <v>Подсобный рабочий</v>
          </cell>
        </row>
        <row r="56">
          <cell r="A56" t="str">
            <v>Омаров Ахмед Абдулкадирович</v>
          </cell>
          <cell r="B56" t="str">
            <v>Подсобный рабочий</v>
          </cell>
        </row>
        <row r="57">
          <cell r="A57" t="str">
            <v>Раджабов Арслан Шапиевич</v>
          </cell>
          <cell r="B57" t="str">
            <v>Гидроизолировщик</v>
          </cell>
        </row>
        <row r="58">
          <cell r="A58" t="str">
            <v>Якшибаев Даулет Булатович</v>
          </cell>
          <cell r="B58" t="str">
            <v>Подсобный рабочий</v>
          </cell>
        </row>
        <row r="59">
          <cell r="A59" t="str">
            <v>Бобриков Евгений Валерьевич</v>
          </cell>
          <cell r="B59" t="str">
            <v>Подсобный рабочий</v>
          </cell>
        </row>
        <row r="60">
          <cell r="A60" t="str">
            <v>Останин Сергей Геннадиевич</v>
          </cell>
          <cell r="B60" t="str">
            <v>Подсобный рабочий</v>
          </cell>
        </row>
        <row r="61">
          <cell r="A61" t="str">
            <v>Кореньчук Павел Владимирович</v>
          </cell>
          <cell r="B61" t="str">
            <v>Стяжечник</v>
          </cell>
        </row>
        <row r="62">
          <cell r="A62" t="str">
            <v xml:space="preserve">Анисимов Дмитрий Юрьевич </v>
          </cell>
          <cell r="B62" t="str">
            <v>Стяжечник</v>
          </cell>
        </row>
        <row r="63">
          <cell r="A63" t="str">
            <v xml:space="preserve">Ирбулин Сергей Игоревич </v>
          </cell>
          <cell r="B63" t="str">
            <v>Стяжечник</v>
          </cell>
        </row>
        <row r="64">
          <cell r="A64" t="str">
            <v>Котов Иван Александрович</v>
          </cell>
          <cell r="B64" t="str">
            <v>Начальник участка</v>
          </cell>
        </row>
        <row r="65">
          <cell r="A65" t="str">
            <v>Семенов Геннадий Александрович</v>
          </cell>
          <cell r="B65" t="str">
            <v>Стяжечник</v>
          </cell>
        </row>
        <row r="66">
          <cell r="A66" t="str">
            <v>Скавронский Алексей Иванович</v>
          </cell>
          <cell r="B66" t="str">
            <v>Руководитель проекта</v>
          </cell>
        </row>
        <row r="67">
          <cell r="A67" t="str">
            <v>Барсуков Михаил Николаевич</v>
          </cell>
          <cell r="B67" t="str">
            <v>Кровельщик</v>
          </cell>
        </row>
        <row r="68">
          <cell r="A68" t="str">
            <v>Устинова Анастасия Алексеевна</v>
          </cell>
          <cell r="B68" t="str">
            <v>Инженер-сметчик</v>
          </cell>
        </row>
        <row r="69">
          <cell r="A69" t="str">
            <v>Кострикин Юрий Владимирович</v>
          </cell>
          <cell r="B69" t="str">
            <v>Инженер ПТО</v>
          </cell>
        </row>
        <row r="70">
          <cell r="A70" t="str">
            <v>Киселева Мария Алексеевна</v>
          </cell>
          <cell r="B70" t="str">
            <v>Помощник директора</v>
          </cell>
        </row>
        <row r="71">
          <cell r="A71" t="str">
            <v>Фаёзов Кобилчон Комилчонович</v>
          </cell>
          <cell r="B71" t="str">
            <v>Подсобный рабочий</v>
          </cell>
        </row>
        <row r="72">
          <cell r="A72" t="str">
            <v>Матжанов Тазабай Шарибаевич</v>
          </cell>
          <cell r="B72" t="str">
            <v>Подсобный рабочий</v>
          </cell>
        </row>
        <row r="73">
          <cell r="A73" t="str">
            <v>Лакаев Махмадсобир Махмадшарифович</v>
          </cell>
          <cell r="B73" t="str">
            <v>Подсобный рабочий</v>
          </cell>
        </row>
        <row r="74">
          <cell r="A74" t="str">
            <v>Курбонов Айниддин Абдулвосеъович</v>
          </cell>
          <cell r="B74" t="str">
            <v>Подсобный рабочий</v>
          </cell>
        </row>
        <row r="75">
          <cell r="A75" t="str">
            <v>Мирзоалиев Бобошох Мирзомудинович</v>
          </cell>
          <cell r="B75" t="str">
            <v>Подсобный рабочий</v>
          </cell>
        </row>
        <row r="76">
          <cell r="A76" t="str">
            <v>Белоусов Роман Александрович</v>
          </cell>
          <cell r="B76" t="str">
            <v>Кровельщик</v>
          </cell>
        </row>
        <row r="77">
          <cell r="A77" t="str">
            <v>Рыбалка Петр Анатольевич</v>
          </cell>
          <cell r="B77" t="str">
            <v>Кровельщик</v>
          </cell>
        </row>
        <row r="78">
          <cell r="A78" t="str">
            <v>Курбонов Ахлиддин Абдулвосеъович</v>
          </cell>
          <cell r="B78" t="str">
            <v>Подсобный рабочий</v>
          </cell>
        </row>
        <row r="79">
          <cell r="A79" t="str">
            <v>Ахмадов Абдулмумин Абдулманонович</v>
          </cell>
          <cell r="B79" t="str">
            <v>Подсобный рабочий</v>
          </cell>
        </row>
        <row r="80">
          <cell r="A80" t="str">
            <v>Воронина Юлия Сергеевна</v>
          </cell>
          <cell r="B80" t="str">
            <v>Инженет пто</v>
          </cell>
        </row>
        <row r="81">
          <cell r="A81" t="str">
            <v>Шарипов Рустам Хайдарович</v>
          </cell>
          <cell r="B81" t="str">
            <v>Подсобный рабочий</v>
          </cell>
        </row>
        <row r="82">
          <cell r="A82" t="str">
            <v>Шарифов Бахриддин Давлахмадович</v>
          </cell>
          <cell r="B82" t="str">
            <v>Подсобный рабочий</v>
          </cell>
        </row>
        <row r="83">
          <cell r="A83" t="str">
            <v>Нуралиев Максудали Назарович</v>
          </cell>
          <cell r="B83" t="str">
            <v>Подсобный рабочий</v>
          </cell>
        </row>
        <row r="84">
          <cell r="A84" t="str">
            <v>Халилов Муборакшо Алимардонович</v>
          </cell>
          <cell r="B84" t="str">
            <v>Подсобный рабочий</v>
          </cell>
        </row>
        <row r="85">
          <cell r="A85" t="str">
            <v>Запорожан Алексей Иванович</v>
          </cell>
          <cell r="B85" t="str">
            <v>Стяжечник</v>
          </cell>
        </row>
        <row r="86">
          <cell r="A86" t="str">
            <v>Полянских Александр Иванович</v>
          </cell>
          <cell r="B86" t="str">
            <v>Стяжечник</v>
          </cell>
        </row>
        <row r="87">
          <cell r="A87" t="str">
            <v>Рыбаков Игорь Вячеславович</v>
          </cell>
          <cell r="B87" t="str">
            <v>Стяжечник</v>
          </cell>
        </row>
        <row r="88">
          <cell r="A88" t="str">
            <v>Ласунин Владимир Васильевич</v>
          </cell>
          <cell r="B88" t="str">
            <v>Стяжечник</v>
          </cell>
        </row>
        <row r="89">
          <cell r="A89" t="str">
            <v>Болтабоев Хурсандбек  Кучкарович</v>
          </cell>
          <cell r="B89" t="str">
            <v>Стяжечник</v>
          </cell>
        </row>
        <row r="90">
          <cell r="A90" t="str">
            <v>Иванченко Юрий Николаевич</v>
          </cell>
          <cell r="B90" t="str">
            <v>Подсобный рабочий</v>
          </cell>
        </row>
        <row r="91">
          <cell r="A91" t="str">
            <v>Бахвалов Евгений Александрович</v>
          </cell>
          <cell r="B91" t="str">
            <v>Подсобный рабочий</v>
          </cell>
        </row>
        <row r="92">
          <cell r="A92" t="str">
            <v>Запорожан Виталий Алексеевич</v>
          </cell>
          <cell r="B92" t="str">
            <v>Подсобный рабочий</v>
          </cell>
        </row>
        <row r="93">
          <cell r="A93" t="str">
            <v>Мирзамуратов Полат Алламбергенович</v>
          </cell>
          <cell r="B93" t="str">
            <v>Подсобный рабочий</v>
          </cell>
        </row>
        <row r="94">
          <cell r="A94" t="str">
            <v>Нусратов Фаридун Тураджонович</v>
          </cell>
          <cell r="B94" t="str">
            <v>Подсобный рабочий</v>
          </cell>
        </row>
        <row r="95">
          <cell r="A95" t="str">
            <v xml:space="preserve">Лутфулои Убайдуло </v>
          </cell>
          <cell r="B95" t="str">
            <v>Подсобный рабочий</v>
          </cell>
        </row>
        <row r="96">
          <cell r="A96" t="str">
            <v>Чалолзода Саймидин</v>
          </cell>
          <cell r="B96" t="str">
            <v>Подсобный рабочий</v>
          </cell>
        </row>
        <row r="97">
          <cell r="A97" t="str">
            <v>Шаволи Неъматулло</v>
          </cell>
          <cell r="B97" t="str">
            <v>Подсобный рабочий</v>
          </cell>
        </row>
        <row r="98">
          <cell r="A98" t="str">
            <v>Нусратов Далер Маъруфджонович</v>
          </cell>
          <cell r="B98" t="str">
            <v>Подсобный рабочий</v>
          </cell>
        </row>
        <row r="99">
          <cell r="A99" t="str">
            <v>Красноруцкая Екакатерина Юрьевна</v>
          </cell>
          <cell r="B99" t="str">
            <v>Бухгалтер</v>
          </cell>
        </row>
        <row r="100">
          <cell r="A100" t="str">
            <v>Джобиров Абдумуталиб Аловдинович</v>
          </cell>
          <cell r="B100" t="str">
            <v>Подсобный рабочий</v>
          </cell>
        </row>
        <row r="101">
          <cell r="A101" t="str">
            <v>Исроилов Сиротулло Абдухафизович</v>
          </cell>
          <cell r="B101" t="str">
            <v>Подсобный рабочий</v>
          </cell>
        </row>
        <row r="102">
          <cell r="A102" t="str">
            <v>Табинбаев Бекзод Мажит Угли</v>
          </cell>
          <cell r="B102" t="str">
            <v>Подсобный рабочий</v>
          </cell>
        </row>
        <row r="103">
          <cell r="A103" t="str">
            <v>Давлатов Курбонали Шарофидинович</v>
          </cell>
          <cell r="B103" t="str">
            <v>Подсобный рабочий</v>
          </cell>
        </row>
        <row r="104">
          <cell r="A104" t="str">
            <v>Абдулваххобов Абдулхамид Пулодович</v>
          </cell>
          <cell r="B104" t="str">
            <v>Подсобный рабочий</v>
          </cell>
        </row>
        <row r="105">
          <cell r="A105" t="str">
            <v>Комилджони Мирзомудин</v>
          </cell>
          <cell r="B105" t="str">
            <v>Подсобный рабочий</v>
          </cell>
        </row>
        <row r="106">
          <cell r="A106" t="str">
            <v>Махмудов Асадулло Хабибович</v>
          </cell>
          <cell r="B106" t="str">
            <v>Подсобный рабочий</v>
          </cell>
        </row>
        <row r="107">
          <cell r="A107" t="str">
            <v>Нуров Эмомали Рамазонович</v>
          </cell>
          <cell r="B107" t="str">
            <v>Подсобный рабочий</v>
          </cell>
        </row>
        <row r="108">
          <cell r="A108" t="str">
            <v>Халимзода Шукрулло Саъди</v>
          </cell>
          <cell r="B108" t="str">
            <v>Подсобный рабочий</v>
          </cell>
        </row>
        <row r="109">
          <cell r="A109" t="str">
            <v xml:space="preserve">Шохруки Хикматулло </v>
          </cell>
          <cell r="B109" t="str">
            <v>Подсобный рабочий</v>
          </cell>
        </row>
        <row r="110">
          <cell r="A110" t="str">
            <v>Хасанов Парвиз Сайджафарович</v>
          </cell>
          <cell r="B110" t="str">
            <v>Подсобный рабочий</v>
          </cell>
        </row>
        <row r="111">
          <cell r="A111" t="str">
            <v>Усмонзода Фирдавсии Мехрубон</v>
          </cell>
          <cell r="B111" t="str">
            <v>Подсобный рабочий</v>
          </cell>
        </row>
        <row r="112">
          <cell r="A112" t="str">
            <v>Крюков Виталий Андреевич</v>
          </cell>
          <cell r="B112" t="str">
            <v>Кровельщик</v>
          </cell>
        </row>
        <row r="113">
          <cell r="A113" t="str">
            <v>Горулев Сергей Александрович</v>
          </cell>
          <cell r="B113" t="str">
            <v>Кровельщик</v>
          </cell>
        </row>
        <row r="114">
          <cell r="A114" t="str">
            <v>Астайкин Юрий Николаевич</v>
          </cell>
          <cell r="B114" t="str">
            <v>Подсобный рабочий</v>
          </cell>
        </row>
        <row r="115">
          <cell r="A115"/>
          <cell r="B115"/>
        </row>
        <row r="116">
          <cell r="A116"/>
          <cell r="B116"/>
        </row>
        <row r="117">
          <cell r="A117"/>
          <cell r="B117"/>
        </row>
        <row r="118">
          <cell r="A118"/>
          <cell r="B118"/>
        </row>
        <row r="119">
          <cell r="A119"/>
          <cell r="B119"/>
        </row>
        <row r="120">
          <cell r="A120"/>
          <cell r="B120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G47"/>
  <sheetViews>
    <sheetView showGridLines="0" tabSelected="1" zoomScale="80" zoomScaleNormal="80" workbookViewId="0">
      <selection activeCell="T13" sqref="T13"/>
    </sheetView>
  </sheetViews>
  <sheetFormatPr defaultRowHeight="15" x14ac:dyDescent="0.25"/>
  <cols>
    <col min="5" max="5" width="18.85546875" customWidth="1"/>
    <col min="10" max="10" width="12.28515625" customWidth="1"/>
    <col min="22" max="22" width="10.85546875" bestFit="1" customWidth="1"/>
  </cols>
  <sheetData>
    <row r="1" spans="1:33" ht="18.75" x14ac:dyDescent="0.3">
      <c r="A1" s="5"/>
      <c r="B1" s="5"/>
      <c r="C1" s="6"/>
      <c r="D1" s="15"/>
      <c r="E1" s="15"/>
      <c r="F1" s="29" t="s">
        <v>13</v>
      </c>
      <c r="G1" s="29"/>
      <c r="H1" s="29"/>
      <c r="I1" s="29"/>
      <c r="J1" s="29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21">
        <v>44681</v>
      </c>
      <c r="W1" s="18"/>
      <c r="X1" s="18"/>
      <c r="Y1" s="18"/>
      <c r="Z1" s="18"/>
      <c r="AA1" s="18"/>
      <c r="AB1" s="27"/>
      <c r="AC1" s="27"/>
      <c r="AD1" s="20"/>
      <c r="AE1" s="20"/>
      <c r="AF1" s="20"/>
      <c r="AG1" s="20"/>
    </row>
    <row r="2" spans="1:33" ht="18.75" x14ac:dyDescent="0.3">
      <c r="A2" s="5"/>
      <c r="B2" s="5"/>
      <c r="C2" s="6"/>
      <c r="D2" s="7"/>
      <c r="E2" s="15"/>
      <c r="F2" s="29" t="s">
        <v>14</v>
      </c>
      <c r="G2" s="29"/>
      <c r="H2" s="29"/>
      <c r="I2" s="29"/>
      <c r="J2" s="29"/>
      <c r="K2" s="19"/>
      <c r="L2" s="19"/>
      <c r="M2" s="19"/>
      <c r="N2" s="19"/>
      <c r="O2" s="19"/>
      <c r="P2" s="19"/>
      <c r="Q2" s="19"/>
      <c r="R2" s="19"/>
      <c r="S2" s="18"/>
      <c r="T2" s="18"/>
      <c r="U2" s="18"/>
      <c r="V2" s="21">
        <v>44682</v>
      </c>
      <c r="W2" s="18"/>
      <c r="X2" s="18"/>
      <c r="Y2" s="18"/>
      <c r="Z2" s="18"/>
      <c r="AA2" s="18"/>
      <c r="AB2" s="27"/>
      <c r="AC2" s="27"/>
      <c r="AD2" s="20"/>
      <c r="AE2" s="20"/>
      <c r="AF2" s="20"/>
      <c r="AG2" s="20"/>
    </row>
    <row r="3" spans="1:33" ht="18.75" x14ac:dyDescent="0.3">
      <c r="A3" s="5"/>
      <c r="B3" s="5"/>
      <c r="C3" s="6"/>
      <c r="D3" s="6"/>
      <c r="E3" s="6"/>
      <c r="F3" s="29" t="s">
        <v>0</v>
      </c>
      <c r="G3" s="29"/>
      <c r="H3" s="29"/>
      <c r="I3" s="29"/>
      <c r="J3" s="29"/>
      <c r="K3" s="19"/>
      <c r="L3" s="19"/>
      <c r="M3" s="19"/>
      <c r="N3" s="19"/>
      <c r="O3" s="19"/>
      <c r="P3" s="19"/>
      <c r="Q3" s="19"/>
      <c r="R3" s="19"/>
      <c r="S3" s="18"/>
      <c r="T3" s="18"/>
      <c r="U3" s="18"/>
      <c r="V3" s="21">
        <v>44683</v>
      </c>
      <c r="W3" s="18"/>
      <c r="X3" s="18"/>
      <c r="Y3" s="18"/>
      <c r="Z3" s="18"/>
      <c r="AA3" s="18"/>
      <c r="AB3" s="27"/>
      <c r="AC3" s="27"/>
      <c r="AD3" s="20"/>
      <c r="AE3" s="20"/>
      <c r="AF3" s="20"/>
      <c r="AG3" s="20"/>
    </row>
    <row r="4" spans="1:33" ht="47.25" customHeight="1" x14ac:dyDescent="0.3">
      <c r="A4" s="5"/>
      <c r="B4" s="5"/>
      <c r="C4" s="7"/>
      <c r="D4" s="17"/>
      <c r="E4" s="17"/>
      <c r="F4" s="28" t="str">
        <f>CONCATENATE("от ",VLOOKUP(L5,People!$A$1:$D$108,4,0))</f>
        <v>от Заместителя генерального директора по персоналу</v>
      </c>
      <c r="G4" s="28"/>
      <c r="H4" s="28"/>
      <c r="I4" s="28"/>
      <c r="J4" s="28"/>
      <c r="K4" s="19"/>
      <c r="L4" s="39" t="str">
        <f>VLOOKUP(L5,People!$A$1:$B$108,2,0)</f>
        <v>Заместитель генерального директора по персоналу</v>
      </c>
      <c r="M4" s="39"/>
      <c r="N4" s="39"/>
      <c r="O4" s="39"/>
      <c r="P4" s="39"/>
      <c r="Q4" s="39"/>
      <c r="R4" s="19"/>
      <c r="S4" s="18"/>
      <c r="T4" s="18"/>
      <c r="U4" s="18"/>
      <c r="V4" s="21">
        <v>44684</v>
      </c>
      <c r="W4" s="22"/>
      <c r="X4" s="18"/>
      <c r="Y4" s="22"/>
      <c r="Z4" s="22"/>
      <c r="AA4" s="18"/>
      <c r="AB4" s="27"/>
      <c r="AC4" s="27"/>
      <c r="AD4" s="20"/>
      <c r="AE4" s="20"/>
      <c r="AF4" s="20"/>
      <c r="AG4" s="20"/>
    </row>
    <row r="5" spans="1:33" ht="18.75" x14ac:dyDescent="0.3">
      <c r="A5" s="5"/>
      <c r="B5" s="5"/>
      <c r="C5" s="6"/>
      <c r="D5" s="16"/>
      <c r="E5" s="16"/>
      <c r="F5" s="29" t="str">
        <f>VLOOKUP(L5,People!$A$1:$D$108,3,0)</f>
        <v>Лисицкой Ирины Николаевны</v>
      </c>
      <c r="G5" s="29"/>
      <c r="H5" s="29"/>
      <c r="I5" s="29"/>
      <c r="J5" s="29"/>
      <c r="K5" s="19"/>
      <c r="L5" s="39" t="s">
        <v>107</v>
      </c>
      <c r="M5" s="39"/>
      <c r="N5" s="39"/>
      <c r="O5" s="39"/>
      <c r="P5" s="39"/>
      <c r="Q5" s="39"/>
      <c r="R5" s="19"/>
      <c r="S5" s="18"/>
      <c r="T5" s="18"/>
      <c r="U5" s="18"/>
      <c r="V5" s="21">
        <v>44688</v>
      </c>
      <c r="W5" s="22"/>
      <c r="X5" s="18"/>
      <c r="Y5" s="22"/>
      <c r="Z5" s="22"/>
      <c r="AA5" s="18"/>
      <c r="AB5" s="27"/>
      <c r="AC5" s="27"/>
      <c r="AD5" s="20"/>
      <c r="AE5" s="20"/>
      <c r="AF5" s="20"/>
      <c r="AG5" s="20"/>
    </row>
    <row r="6" spans="1:33" ht="18.75" x14ac:dyDescent="0.3">
      <c r="A6" s="5"/>
      <c r="B6" s="5"/>
      <c r="C6" s="6"/>
      <c r="D6" s="42"/>
      <c r="E6" s="42"/>
      <c r="F6" s="42"/>
      <c r="G6" s="42"/>
      <c r="H6" s="42"/>
      <c r="I6" s="42"/>
      <c r="J6" s="5"/>
      <c r="K6" s="19"/>
      <c r="L6" s="19"/>
      <c r="M6" s="19"/>
      <c r="N6" s="19"/>
      <c r="O6" s="19"/>
      <c r="P6" s="19"/>
      <c r="Q6" s="19"/>
      <c r="R6" s="19"/>
      <c r="S6" s="18"/>
      <c r="T6" s="18"/>
      <c r="U6" s="18"/>
      <c r="V6" s="21">
        <v>44689</v>
      </c>
      <c r="W6" s="23"/>
      <c r="X6" s="18"/>
      <c r="Y6" s="23"/>
      <c r="Z6" s="24"/>
      <c r="AA6" s="18"/>
      <c r="AB6" s="27"/>
      <c r="AC6" s="27"/>
      <c r="AD6" s="20"/>
      <c r="AE6" s="20"/>
      <c r="AF6" s="20"/>
      <c r="AG6" s="20"/>
    </row>
    <row r="7" spans="1:33" ht="18.75" x14ac:dyDescent="0.3">
      <c r="A7" s="5"/>
      <c r="B7" s="5"/>
      <c r="C7" s="6"/>
      <c r="D7" s="6"/>
      <c r="E7" s="36"/>
      <c r="F7" s="36"/>
      <c r="G7" s="36"/>
      <c r="H7" s="36"/>
      <c r="I7" s="36"/>
      <c r="J7" s="5"/>
      <c r="K7" s="19"/>
      <c r="L7" s="19"/>
      <c r="M7" s="19"/>
      <c r="N7" s="19"/>
      <c r="O7" s="19"/>
      <c r="P7" s="19"/>
      <c r="Q7" s="19"/>
      <c r="R7" s="19"/>
      <c r="S7" s="18"/>
      <c r="T7" s="18"/>
      <c r="U7" s="18"/>
      <c r="V7" s="21">
        <v>44690</v>
      </c>
      <c r="W7" s="25"/>
      <c r="X7" s="25"/>
      <c r="Y7" s="25"/>
      <c r="Z7" s="25"/>
      <c r="AA7" s="18"/>
      <c r="AB7" s="27"/>
      <c r="AC7" s="27"/>
      <c r="AD7" s="20"/>
      <c r="AE7" s="20"/>
      <c r="AF7" s="20"/>
      <c r="AG7" s="20"/>
    </row>
    <row r="8" spans="1:33" ht="24.75" customHeight="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19"/>
      <c r="L8" s="19"/>
      <c r="M8" s="19"/>
      <c r="N8" s="18"/>
      <c r="O8" s="18"/>
      <c r="P8" s="18"/>
      <c r="Q8" s="18"/>
      <c r="R8" s="18"/>
      <c r="S8" s="18"/>
      <c r="T8" s="18"/>
      <c r="U8" s="18"/>
      <c r="V8" s="21">
        <v>44691</v>
      </c>
      <c r="W8" s="26"/>
      <c r="X8" s="26"/>
      <c r="Y8" s="26"/>
      <c r="Z8" s="26"/>
      <c r="AA8" s="18"/>
      <c r="AB8" s="27"/>
      <c r="AC8" s="27"/>
      <c r="AD8" s="20"/>
      <c r="AE8" s="20"/>
      <c r="AF8" s="20"/>
      <c r="AG8" s="20"/>
    </row>
    <row r="9" spans="1:33" x14ac:dyDescent="0.25">
      <c r="A9" s="2"/>
      <c r="B9" s="2"/>
      <c r="C9" s="2"/>
      <c r="D9" s="2"/>
      <c r="E9" s="2"/>
      <c r="F9" s="2"/>
      <c r="G9" s="2"/>
      <c r="H9" s="2"/>
      <c r="I9" s="2"/>
      <c r="J9" s="8"/>
      <c r="K9" s="19"/>
      <c r="L9" s="19"/>
      <c r="M9" s="19"/>
      <c r="N9" s="18"/>
      <c r="O9" s="18"/>
      <c r="P9" s="18"/>
      <c r="Q9" s="18"/>
      <c r="R9" s="18"/>
      <c r="S9" s="18"/>
      <c r="T9" s="18"/>
      <c r="U9" s="18"/>
      <c r="V9" s="21">
        <v>44723</v>
      </c>
      <c r="W9" s="18"/>
      <c r="X9" s="18"/>
      <c r="Y9" s="18"/>
      <c r="Z9" s="18"/>
      <c r="AA9" s="18"/>
      <c r="AB9" s="27"/>
      <c r="AC9" s="27"/>
      <c r="AD9" s="20"/>
      <c r="AE9" s="20"/>
      <c r="AF9" s="20"/>
      <c r="AG9" s="20"/>
    </row>
    <row r="10" spans="1:33" ht="15.75" x14ac:dyDescent="0.25">
      <c r="A10" s="2"/>
      <c r="B10" s="2"/>
      <c r="C10" s="2"/>
      <c r="D10" s="2"/>
      <c r="E10" s="2"/>
      <c r="F10" s="2"/>
      <c r="G10" s="2"/>
      <c r="H10" s="2"/>
      <c r="I10" s="2"/>
      <c r="J10" s="9"/>
      <c r="K10" s="19"/>
      <c r="L10" s="19"/>
      <c r="M10" s="19"/>
      <c r="N10" s="18"/>
      <c r="O10" s="18"/>
      <c r="P10" s="18"/>
      <c r="Q10" s="18"/>
      <c r="R10" s="18"/>
      <c r="S10" s="18"/>
      <c r="T10" s="18"/>
      <c r="U10" s="18"/>
      <c r="V10" s="21">
        <v>44724</v>
      </c>
      <c r="W10" s="18"/>
      <c r="X10" s="18"/>
      <c r="Y10" s="18"/>
      <c r="Z10" s="18"/>
      <c r="AA10" s="18"/>
      <c r="AB10" s="27"/>
      <c r="AC10" s="27"/>
      <c r="AD10" s="20"/>
      <c r="AE10" s="20"/>
      <c r="AF10" s="20"/>
      <c r="AG10" s="20"/>
    </row>
    <row r="11" spans="1:33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19"/>
      <c r="L11" s="19"/>
      <c r="M11" s="19"/>
      <c r="N11" s="18"/>
      <c r="O11" s="18"/>
      <c r="P11" s="18"/>
      <c r="Q11" s="18"/>
      <c r="R11" s="18"/>
      <c r="S11" s="18"/>
      <c r="T11" s="18"/>
      <c r="U11" s="18"/>
      <c r="V11" s="21">
        <v>44725</v>
      </c>
      <c r="W11" s="18"/>
      <c r="X11" s="18"/>
      <c r="Y11" s="18"/>
      <c r="Z11" s="18"/>
      <c r="AA11" s="18"/>
      <c r="AB11" s="27"/>
      <c r="AC11" s="27"/>
      <c r="AD11" s="20"/>
      <c r="AE11" s="20"/>
      <c r="AF11" s="20"/>
      <c r="AG11" s="20"/>
    </row>
    <row r="12" spans="1:33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19"/>
      <c r="L12" s="19"/>
      <c r="M12" s="19"/>
      <c r="N12" s="18"/>
      <c r="O12" s="18"/>
      <c r="P12" s="18"/>
      <c r="Q12" s="18"/>
      <c r="R12" s="18"/>
      <c r="S12" s="18"/>
      <c r="T12" s="18"/>
      <c r="U12" s="18"/>
      <c r="V12" s="21">
        <v>44869</v>
      </c>
      <c r="W12" s="18"/>
      <c r="X12" s="18"/>
      <c r="Y12" s="18"/>
      <c r="Z12" s="18"/>
      <c r="AA12" s="18"/>
      <c r="AB12" s="27"/>
      <c r="AC12" s="27"/>
      <c r="AD12" s="20"/>
      <c r="AE12" s="20"/>
      <c r="AF12" s="20"/>
      <c r="AG12" s="20"/>
    </row>
    <row r="13" spans="1:3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9"/>
      <c r="L13" s="19"/>
      <c r="M13" s="19"/>
      <c r="N13" s="18"/>
      <c r="O13" s="18"/>
      <c r="P13" s="18"/>
      <c r="Q13" s="18"/>
      <c r="R13" s="18"/>
      <c r="S13" s="18"/>
      <c r="T13" s="18"/>
      <c r="U13" s="18"/>
      <c r="V13" s="21">
        <v>44870</v>
      </c>
      <c r="W13" s="18"/>
      <c r="X13" s="18"/>
      <c r="Y13" s="18"/>
      <c r="Z13" s="18"/>
      <c r="AA13" s="18"/>
      <c r="AB13" s="27"/>
      <c r="AC13" s="27"/>
      <c r="AD13" s="20"/>
      <c r="AE13" s="20"/>
      <c r="AF13" s="20"/>
      <c r="AG13" s="20"/>
    </row>
    <row r="14" spans="1:3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9"/>
      <c r="L14" s="19"/>
      <c r="M14" s="19"/>
      <c r="N14" s="18"/>
      <c r="O14" s="18"/>
      <c r="P14" s="18"/>
      <c r="Q14" s="18"/>
      <c r="R14" s="18"/>
      <c r="S14" s="18"/>
      <c r="T14" s="18"/>
      <c r="U14" s="18"/>
      <c r="V14" s="21">
        <v>44871</v>
      </c>
      <c r="W14" s="30"/>
      <c r="X14" s="30"/>
      <c r="Y14" s="30"/>
      <c r="Z14" s="30"/>
      <c r="AA14" s="30"/>
      <c r="AB14" s="27"/>
      <c r="AC14" s="27"/>
      <c r="AD14" s="20"/>
      <c r="AE14" s="20"/>
      <c r="AF14" s="20"/>
      <c r="AG14" s="20"/>
    </row>
    <row r="15" spans="1:33" x14ac:dyDescent="0.25"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30"/>
      <c r="X15" s="30"/>
      <c r="Y15" s="30"/>
      <c r="Z15" s="30"/>
      <c r="AA15" s="30"/>
      <c r="AB15" s="27"/>
      <c r="AC15" s="27"/>
      <c r="AD15" s="20"/>
      <c r="AE15" s="20"/>
      <c r="AF15" s="20"/>
      <c r="AG15" s="20"/>
    </row>
    <row r="16" spans="1:33" ht="18.75" x14ac:dyDescent="0.25">
      <c r="A16" s="34" t="s">
        <v>1</v>
      </c>
      <c r="B16" s="34"/>
      <c r="C16" s="34"/>
      <c r="D16" s="34"/>
      <c r="E16" s="34"/>
      <c r="F16" s="34"/>
      <c r="G16" s="34"/>
      <c r="H16" s="34"/>
      <c r="I16" s="34"/>
      <c r="J16" s="34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30"/>
      <c r="X16" s="30"/>
      <c r="Y16" s="30"/>
      <c r="Z16" s="30"/>
      <c r="AA16" s="30"/>
      <c r="AB16" s="27"/>
      <c r="AC16" s="27"/>
      <c r="AD16" s="20"/>
      <c r="AE16" s="20"/>
      <c r="AF16" s="20"/>
      <c r="AG16" s="20"/>
    </row>
    <row r="17" spans="1:33" ht="18.75" x14ac:dyDescent="0.25">
      <c r="A17" s="32" t="s">
        <v>2</v>
      </c>
      <c r="B17" s="32"/>
      <c r="C17" s="32"/>
      <c r="D17" s="32"/>
      <c r="E17" s="32"/>
      <c r="F17" s="32"/>
      <c r="G17" s="32"/>
      <c r="H17" s="32"/>
      <c r="I17" s="32"/>
      <c r="J17" s="9"/>
      <c r="K17" s="18"/>
      <c r="L17" s="18"/>
      <c r="M17" s="18" t="str">
        <f>CONCATENATE("Заявление на отпуск ",G42)</f>
        <v>Заявление на отпуск Лисицкая И.Н.</v>
      </c>
      <c r="N17" s="18"/>
      <c r="O17" s="18"/>
      <c r="P17" s="18"/>
      <c r="Q17" s="18"/>
      <c r="R17" s="18"/>
      <c r="S17" s="18"/>
      <c r="T17" s="18"/>
      <c r="U17" s="18"/>
      <c r="V17" s="18"/>
      <c r="W17" s="30"/>
      <c r="X17" s="30"/>
      <c r="Y17" s="30"/>
      <c r="Z17" s="30"/>
      <c r="AA17" s="30"/>
      <c r="AB17" s="27"/>
      <c r="AC17" s="27"/>
      <c r="AD17" s="20"/>
      <c r="AE17" s="20"/>
      <c r="AF17" s="20"/>
      <c r="AG17" s="20"/>
    </row>
    <row r="18" spans="1:33" ht="18.75" x14ac:dyDescent="0.3">
      <c r="A18" s="10"/>
      <c r="B18" s="7"/>
      <c r="C18" s="6"/>
      <c r="D18" s="6"/>
      <c r="E18" s="6"/>
      <c r="F18" s="6"/>
      <c r="G18" s="6"/>
      <c r="H18" s="6"/>
      <c r="I18" s="6"/>
      <c r="J18" s="9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30"/>
      <c r="X18" s="30"/>
      <c r="Y18" s="30"/>
      <c r="Z18" s="30"/>
      <c r="AA18" s="30"/>
      <c r="AB18" s="27"/>
      <c r="AC18" s="27"/>
      <c r="AD18" s="20"/>
      <c r="AE18" s="20"/>
      <c r="AF18" s="20"/>
      <c r="AG18" s="20"/>
    </row>
    <row r="19" spans="1:33" ht="18.75" x14ac:dyDescent="0.3">
      <c r="A19" s="10"/>
      <c r="B19" s="7"/>
      <c r="C19" s="6"/>
      <c r="D19" s="6"/>
      <c r="E19" s="6"/>
      <c r="F19" s="6"/>
      <c r="G19" s="6"/>
      <c r="H19" s="6"/>
      <c r="I19" s="6"/>
      <c r="J19" s="9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27"/>
      <c r="AC19" s="27"/>
      <c r="AD19" s="20"/>
      <c r="AE19" s="20"/>
      <c r="AF19" s="20"/>
      <c r="AG19" s="20"/>
    </row>
    <row r="20" spans="1:33" ht="18.75" x14ac:dyDescent="0.3">
      <c r="A20" s="10"/>
      <c r="B20" s="11" t="s">
        <v>3</v>
      </c>
      <c r="C20" s="40" t="s">
        <v>108</v>
      </c>
      <c r="D20" s="41"/>
      <c r="E20" s="11" t="s">
        <v>4</v>
      </c>
      <c r="F20" s="40" t="s">
        <v>109</v>
      </c>
      <c r="G20" s="41"/>
      <c r="H20" s="10"/>
      <c r="I20" s="6"/>
      <c r="J20" s="9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27"/>
      <c r="AC20" s="27"/>
      <c r="AD20" s="20"/>
      <c r="AE20" s="20"/>
      <c r="AF20" s="20"/>
      <c r="AG20" s="20"/>
    </row>
    <row r="21" spans="1:33" ht="18.75" x14ac:dyDescent="0.3">
      <c r="A21" s="10"/>
      <c r="B21" s="7"/>
      <c r="C21" s="6"/>
      <c r="D21" s="6"/>
      <c r="E21" s="6"/>
      <c r="F21" s="6"/>
      <c r="G21" s="6"/>
      <c r="H21" s="6"/>
      <c r="I21" s="6"/>
      <c r="J21" s="9"/>
      <c r="K21" s="18"/>
      <c r="L21" s="18"/>
      <c r="M21" s="18">
        <f>F20-C20+1</f>
        <v>16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27"/>
      <c r="AC21" s="27"/>
      <c r="AD21" s="20"/>
      <c r="AE21" s="20"/>
      <c r="AF21" s="20"/>
      <c r="AG21" s="20"/>
    </row>
    <row r="22" spans="1:33" ht="18.75" x14ac:dyDescent="0.3">
      <c r="A22" s="10"/>
      <c r="B22" s="7"/>
      <c r="C22" s="6"/>
      <c r="D22" s="6"/>
      <c r="E22" s="6"/>
      <c r="F22" s="6"/>
      <c r="G22" s="6"/>
      <c r="H22" s="6"/>
      <c r="I22" s="6"/>
      <c r="J22" s="9"/>
      <c r="K22" s="18"/>
      <c r="L22" s="18"/>
      <c r="M22" s="18">
        <f>NETWORKDAYS.INTL(C20,F20,"0000000",V1:V14)</f>
        <v>16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27"/>
      <c r="AC22" s="27"/>
      <c r="AD22" s="20"/>
      <c r="AE22" s="20"/>
      <c r="AF22" s="20"/>
      <c r="AG22" s="20"/>
    </row>
    <row r="23" spans="1:33" ht="18.75" x14ac:dyDescent="0.3">
      <c r="A23" s="10"/>
      <c r="B23" s="7"/>
      <c r="C23" s="6"/>
      <c r="D23" s="6"/>
      <c r="E23" s="6"/>
      <c r="F23" s="6"/>
      <c r="G23" s="6"/>
      <c r="H23" s="6"/>
      <c r="I23" s="6"/>
      <c r="J23" s="9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27"/>
      <c r="AC23" s="27"/>
      <c r="AD23" s="20"/>
      <c r="AE23" s="20"/>
      <c r="AF23" s="20"/>
      <c r="AG23" s="20"/>
    </row>
    <row r="24" spans="1:33" ht="18.75" x14ac:dyDescent="0.3">
      <c r="A24" s="10"/>
      <c r="B24" s="10"/>
      <c r="C24" s="10"/>
      <c r="D24" s="10"/>
      <c r="E24" s="10"/>
      <c r="F24" s="10"/>
      <c r="G24" s="10"/>
      <c r="H24" s="10"/>
      <c r="I24" s="10"/>
      <c r="J24" s="2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27"/>
      <c r="AC24" s="27"/>
      <c r="AD24" s="20"/>
      <c r="AE24" s="20"/>
      <c r="AF24" s="20"/>
      <c r="AG24" s="20"/>
    </row>
    <row r="25" spans="1:33" ht="18.75" x14ac:dyDescent="0.3">
      <c r="A25" s="10"/>
      <c r="B25" s="10"/>
      <c r="C25" s="7" t="s">
        <v>5</v>
      </c>
      <c r="D25" s="6"/>
      <c r="E25" s="4">
        <f>IF(A17="Прошу Вас предоставить мне очередной оплачиваемый отпуск",M22,M21)</f>
        <v>16</v>
      </c>
      <c r="F25" s="35" t="s">
        <v>6</v>
      </c>
      <c r="G25" s="36"/>
      <c r="H25" s="36"/>
      <c r="I25" s="10"/>
      <c r="J25" s="2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27"/>
      <c r="AC25" s="27"/>
      <c r="AD25" s="20"/>
      <c r="AE25" s="20"/>
      <c r="AF25" s="20"/>
      <c r="AG25" s="20"/>
    </row>
    <row r="26" spans="1:33" ht="18.75" x14ac:dyDescent="0.3">
      <c r="A26" s="10"/>
      <c r="B26" s="6"/>
      <c r="C26" s="6"/>
      <c r="D26" s="6"/>
      <c r="E26" s="6"/>
      <c r="F26" s="6"/>
      <c r="G26" s="6"/>
      <c r="H26" s="6"/>
      <c r="I26" s="6"/>
      <c r="J26" s="5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27"/>
      <c r="AC26" s="27"/>
      <c r="AD26" s="20"/>
      <c r="AE26" s="20"/>
      <c r="AF26" s="20"/>
      <c r="AG26" s="20"/>
    </row>
    <row r="27" spans="1:33" x14ac:dyDescent="0.25"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27"/>
      <c r="AC27" s="27"/>
      <c r="AD27" s="20"/>
      <c r="AE27" s="20"/>
      <c r="AF27" s="20"/>
      <c r="AG27" s="20"/>
    </row>
    <row r="28" spans="1:33" x14ac:dyDescent="0.25"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27"/>
      <c r="AC28" s="27"/>
      <c r="AD28" s="20"/>
      <c r="AE28" s="20"/>
      <c r="AF28" s="20"/>
      <c r="AG28" s="20"/>
    </row>
    <row r="29" spans="1:33" x14ac:dyDescent="0.25"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27"/>
      <c r="AC29" s="27"/>
      <c r="AD29" s="20"/>
      <c r="AE29" s="20"/>
      <c r="AF29" s="20"/>
      <c r="AG29" s="20"/>
    </row>
    <row r="30" spans="1:33" x14ac:dyDescent="0.25"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27"/>
      <c r="AC30" s="27"/>
      <c r="AD30" s="20"/>
      <c r="AE30" s="20"/>
      <c r="AF30" s="20"/>
      <c r="AG30" s="20"/>
    </row>
    <row r="31" spans="1:33" x14ac:dyDescent="0.25"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27"/>
      <c r="AC31" s="27"/>
      <c r="AD31" s="20"/>
      <c r="AE31" s="20"/>
      <c r="AF31" s="20"/>
      <c r="AG31" s="20"/>
    </row>
    <row r="32" spans="1:33" x14ac:dyDescent="0.25"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27"/>
      <c r="AC32" s="27"/>
      <c r="AD32" s="20"/>
      <c r="AE32" s="20"/>
      <c r="AF32" s="20"/>
      <c r="AG32" s="20"/>
    </row>
    <row r="33" spans="2:33" x14ac:dyDescent="0.25"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27"/>
      <c r="AC33" s="27"/>
      <c r="AD33" s="20"/>
      <c r="AE33" s="20"/>
      <c r="AF33" s="20"/>
      <c r="AG33" s="20"/>
    </row>
    <row r="34" spans="2:33" x14ac:dyDescent="0.25"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27"/>
      <c r="AC34" s="27"/>
      <c r="AD34" s="20"/>
      <c r="AE34" s="20"/>
      <c r="AF34" s="20"/>
      <c r="AG34" s="20"/>
    </row>
    <row r="35" spans="2:33" x14ac:dyDescent="0.25"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27"/>
      <c r="AC35" s="27"/>
      <c r="AD35" s="20"/>
      <c r="AE35" s="20"/>
      <c r="AF35" s="20"/>
      <c r="AG35" s="20"/>
    </row>
    <row r="36" spans="2:33" x14ac:dyDescent="0.25"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27"/>
      <c r="AC36" s="27"/>
      <c r="AD36" s="20"/>
      <c r="AE36" s="20"/>
      <c r="AF36" s="20"/>
      <c r="AG36" s="20"/>
    </row>
    <row r="37" spans="2:33" x14ac:dyDescent="0.25"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0"/>
      <c r="AE37" s="20"/>
      <c r="AF37" s="20"/>
      <c r="AG37" s="20"/>
    </row>
    <row r="38" spans="2:33" x14ac:dyDescent="0.25"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0"/>
      <c r="AE38" s="20"/>
      <c r="AF38" s="20"/>
      <c r="AG38" s="20"/>
    </row>
    <row r="39" spans="2:33" x14ac:dyDescent="0.25"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0"/>
      <c r="AE39" s="20"/>
      <c r="AF39" s="20"/>
      <c r="AG39" s="20"/>
    </row>
    <row r="40" spans="2:33" x14ac:dyDescent="0.25"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0"/>
      <c r="AE40" s="20"/>
      <c r="AF40" s="20"/>
      <c r="AG40" s="20"/>
    </row>
    <row r="41" spans="2:33" x14ac:dyDescent="0.25"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</row>
    <row r="42" spans="2:33" ht="15.75" x14ac:dyDescent="0.25">
      <c r="B42" s="37">
        <f ca="1">TODAY()</f>
        <v>44718</v>
      </c>
      <c r="C42" s="38"/>
      <c r="D42" s="9"/>
      <c r="E42" s="9"/>
      <c r="F42" s="3"/>
      <c r="G42" s="33" t="str">
        <f>LEFT(L5,SEARCH(" *",L5)-1)&amp;" "&amp;MID(L5,SEARCH(" *",L5)+1,1)&amp;"."&amp;MID(L5,SEARCH(" *",L5,SEARCH(" *",L5)+1)+1,1)&amp;"."</f>
        <v>Лисицкая И.Н.</v>
      </c>
      <c r="H42" s="33"/>
      <c r="I42" s="33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</row>
    <row r="43" spans="2:33" x14ac:dyDescent="0.25">
      <c r="B43" s="31" t="s">
        <v>7</v>
      </c>
      <c r="C43" s="31"/>
      <c r="D43" s="5"/>
      <c r="E43" s="5"/>
      <c r="F43" s="12" t="s">
        <v>8</v>
      </c>
      <c r="G43" s="12"/>
      <c r="H43" s="12" t="s">
        <v>9</v>
      </c>
      <c r="I43" s="12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</row>
    <row r="46" spans="2:33" ht="7.5" customHeight="1" x14ac:dyDescent="0.25"/>
    <row r="47" spans="2:33" hidden="1" x14ac:dyDescent="0.25"/>
  </sheetData>
  <sheetProtection algorithmName="SHA-512" hashValue="W5O5I7EwH7s2YcyTKCaIQ6wxRjtGTE+I1rvdoYC7ecvz06yINJFzHAEEXT2xHNw5Qc0GsNRKyYrdZXwg/eETPQ==" saltValue="rxhzSBB5Ukgm9Cw8xJTk9A==" spinCount="100000" sheet="1" formatCells="0" formatColumns="0" formatRows="0" insertColumns="0" insertRows="0" insertHyperlinks="0" deleteColumns="0" deleteRows="0" sort="0" autoFilter="0" pivotTables="0"/>
  <protectedRanges>
    <protectedRange sqref="F4:J5" name="Диапазон6"/>
    <protectedRange sqref="L4:Q5" name="Диапазон5"/>
    <protectedRange sqref="W18:Z18 W8:Z8 D5:E5" name="Диапазон1"/>
    <protectedRange sqref="A17" name="Диапазон2"/>
    <protectedRange sqref="C20" name="Диапазон3"/>
    <protectedRange sqref="F20" name="Диапазон4"/>
  </protectedRanges>
  <mergeCells count="18">
    <mergeCell ref="L4:Q4"/>
    <mergeCell ref="L5:Q5"/>
    <mergeCell ref="E7:I7"/>
    <mergeCell ref="C20:D20"/>
    <mergeCell ref="F20:G20"/>
    <mergeCell ref="D6:I6"/>
    <mergeCell ref="W14:AA18"/>
    <mergeCell ref="B43:C43"/>
    <mergeCell ref="A17:I17"/>
    <mergeCell ref="G42:I42"/>
    <mergeCell ref="A16:J16"/>
    <mergeCell ref="F25:H25"/>
    <mergeCell ref="B42:C42"/>
    <mergeCell ref="F4:J4"/>
    <mergeCell ref="F5:J5"/>
    <mergeCell ref="F1:J1"/>
    <mergeCell ref="F2:J2"/>
    <mergeCell ref="F3:J3"/>
  </mergeCells>
  <pageMargins left="0.25" right="0.25" top="0.75" bottom="0.75" header="0.3" footer="0.3"/>
  <pageSetup paperSize="9" scale="94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7"/>
  <sheetViews>
    <sheetView workbookViewId="0">
      <selection activeCell="D5" sqref="D5"/>
    </sheetView>
  </sheetViews>
  <sheetFormatPr defaultRowHeight="15" x14ac:dyDescent="0.25"/>
  <cols>
    <col min="1" max="1" width="68.140625" bestFit="1" customWidth="1"/>
    <col min="4" max="4" width="28" bestFit="1" customWidth="1"/>
  </cols>
  <sheetData>
    <row r="1" spans="1:4" x14ac:dyDescent="0.25">
      <c r="A1" s="13" t="s">
        <v>10</v>
      </c>
      <c r="B1" s="13"/>
      <c r="C1" s="13"/>
      <c r="D1" s="13"/>
    </row>
    <row r="2" spans="1:4" x14ac:dyDescent="0.25">
      <c r="A2" s="13" t="s">
        <v>11</v>
      </c>
      <c r="B2" s="13"/>
      <c r="C2" s="13"/>
      <c r="D2" s="13"/>
    </row>
    <row r="3" spans="1:4" x14ac:dyDescent="0.25">
      <c r="A3" s="13" t="s">
        <v>2</v>
      </c>
      <c r="B3" s="13"/>
      <c r="C3" s="13"/>
      <c r="D3" s="13"/>
    </row>
    <row r="5" spans="1:4" x14ac:dyDescent="0.25">
      <c r="A5" s="13"/>
      <c r="B5" s="13"/>
      <c r="C5" s="13"/>
      <c r="D5" s="13" t="s">
        <v>12</v>
      </c>
    </row>
    <row r="17" spans="1:1" x14ac:dyDescent="0.25">
      <c r="A17" s="13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D119"/>
  <sheetViews>
    <sheetView workbookViewId="0">
      <selection activeCell="F12" sqref="F12"/>
    </sheetView>
  </sheetViews>
  <sheetFormatPr defaultRowHeight="15" x14ac:dyDescent="0.25"/>
  <cols>
    <col min="1" max="1" width="38.85546875" bestFit="1" customWidth="1"/>
    <col min="2" max="2" width="61.7109375" bestFit="1" customWidth="1"/>
    <col min="3" max="3" width="41.85546875" bestFit="1" customWidth="1"/>
    <col min="4" max="4" width="61.7109375" bestFit="1" customWidth="1"/>
  </cols>
  <sheetData>
    <row r="1" spans="1:4" x14ac:dyDescent="0.25">
      <c r="A1" s="14" t="str">
        <f>[1]TDSheet!A2</f>
        <v>Абдуллаев Рустам Магомедович</v>
      </c>
      <c r="B1" s="14" t="str">
        <f>[1]TDSheet!B2</f>
        <v>Мастер</v>
      </c>
      <c r="C1" t="s">
        <v>15</v>
      </c>
      <c r="D1" s="14" t="s">
        <v>70</v>
      </c>
    </row>
    <row r="2" spans="1:4" x14ac:dyDescent="0.25">
      <c r="A2" s="14" t="str">
        <f>[1]TDSheet!A3</f>
        <v>Айбатов Жанибек Отепбергенович</v>
      </c>
      <c r="B2" s="14" t="str">
        <f>[1]TDSheet!B3</f>
        <v>Подсобный рабочий</v>
      </c>
      <c r="C2" s="14" t="s">
        <v>16</v>
      </c>
      <c r="D2" s="14" t="s">
        <v>71</v>
      </c>
    </row>
    <row r="3" spans="1:4" x14ac:dyDescent="0.25">
      <c r="A3" s="14" t="str">
        <f>[1]TDSheet!A4</f>
        <v>Аммаев Роман Магомедович  (сроч.)</v>
      </c>
      <c r="B3" s="14" t="str">
        <f>[1]TDSheet!B4</f>
        <v>Производитель работ</v>
      </c>
      <c r="C3" s="14" t="s">
        <v>100</v>
      </c>
      <c r="D3" s="14" t="s">
        <v>72</v>
      </c>
    </row>
    <row r="4" spans="1:4" x14ac:dyDescent="0.25">
      <c r="A4" s="14" t="str">
        <f>[1]TDSheet!A5</f>
        <v>Афанасьев Олег Михайлович</v>
      </c>
      <c r="B4" s="14" t="str">
        <f>[1]TDSheet!B5</f>
        <v>Кровельщик</v>
      </c>
      <c r="C4" s="14" t="s">
        <v>17</v>
      </c>
      <c r="D4" s="14" t="s">
        <v>73</v>
      </c>
    </row>
    <row r="5" spans="1:4" x14ac:dyDescent="0.25">
      <c r="A5" s="14" t="str">
        <f>[1]TDSheet!A6</f>
        <v>Бахиев Руслан Бернауперниевич</v>
      </c>
      <c r="B5" s="14" t="str">
        <f>[1]TDSheet!B6</f>
        <v>Гидроизолировщик</v>
      </c>
      <c r="C5" s="14" t="s">
        <v>18</v>
      </c>
      <c r="D5" s="14" t="s">
        <v>74</v>
      </c>
    </row>
    <row r="6" spans="1:4" x14ac:dyDescent="0.25">
      <c r="A6" s="14" t="str">
        <f>[1]TDSheet!A7</f>
        <v>Виневцев Сергей Валентинович</v>
      </c>
      <c r="B6" s="14" t="str">
        <f>[1]TDSheet!B7</f>
        <v>Производитель работ</v>
      </c>
      <c r="C6" s="14" t="s">
        <v>19</v>
      </c>
      <c r="D6" s="14" t="s">
        <v>72</v>
      </c>
    </row>
    <row r="7" spans="1:4" x14ac:dyDescent="0.25">
      <c r="A7" s="14" t="str">
        <f>[1]TDSheet!A8</f>
        <v>Дрижинский Михаил Александрович</v>
      </c>
      <c r="B7" s="14" t="str">
        <f>[1]TDSheet!B8</f>
        <v>Мастер</v>
      </c>
      <c r="C7" s="14" t="s">
        <v>20</v>
      </c>
      <c r="D7" s="14" t="s">
        <v>70</v>
      </c>
    </row>
    <row r="8" spans="1:4" x14ac:dyDescent="0.25">
      <c r="A8" s="14" t="str">
        <f>[1]TDSheet!A9</f>
        <v>Дровосеков Степан Алексеевич</v>
      </c>
      <c r="B8" s="14" t="str">
        <f>[1]TDSheet!B9</f>
        <v>Мастер</v>
      </c>
      <c r="C8" s="14" t="s">
        <v>21</v>
      </c>
      <c r="D8" s="14" t="s">
        <v>70</v>
      </c>
    </row>
    <row r="9" spans="1:4" x14ac:dyDescent="0.25">
      <c r="A9" s="14" t="str">
        <f>[1]TDSheet!A10</f>
        <v>Ефимчиков Максим Михайлович</v>
      </c>
      <c r="B9" s="14" t="str">
        <f>[1]TDSheet!B10</f>
        <v>Мастер</v>
      </c>
      <c r="C9" s="14" t="s">
        <v>22</v>
      </c>
      <c r="D9" s="14" t="s">
        <v>70</v>
      </c>
    </row>
    <row r="10" spans="1:4" x14ac:dyDescent="0.25">
      <c r="A10" s="14" t="str">
        <f>[1]TDSheet!A11</f>
        <v>Жамилжанов Бахадир Жамилжан Ули</v>
      </c>
      <c r="B10" s="14" t="str">
        <f>[1]TDSheet!B11</f>
        <v>Подсобный рабочий</v>
      </c>
      <c r="C10" s="14" t="s">
        <v>23</v>
      </c>
      <c r="D10" s="14" t="s">
        <v>71</v>
      </c>
    </row>
    <row r="11" spans="1:4" x14ac:dyDescent="0.25">
      <c r="A11" s="14" t="str">
        <f>[1]TDSheet!A12</f>
        <v>Ибиев Габибулла Гаджимурадович</v>
      </c>
      <c r="B11" s="14" t="str">
        <f>[1]TDSheet!B12</f>
        <v>Кровельщик</v>
      </c>
      <c r="C11" s="14" t="s">
        <v>24</v>
      </c>
      <c r="D11" s="14" t="s">
        <v>73</v>
      </c>
    </row>
    <row r="12" spans="1:4" x14ac:dyDescent="0.25">
      <c r="A12" s="14" t="str">
        <f>[1]TDSheet!A13</f>
        <v>Ибиев Идрис Рабаданович</v>
      </c>
      <c r="B12" s="14" t="str">
        <f>[1]TDSheet!B13</f>
        <v>Кровельщик</v>
      </c>
      <c r="C12" s="14" t="s">
        <v>25</v>
      </c>
      <c r="D12" s="14" t="s">
        <v>73</v>
      </c>
    </row>
    <row r="13" spans="1:4" x14ac:dyDescent="0.25">
      <c r="A13" s="14" t="str">
        <f>[1]TDSheet!A14</f>
        <v>Ибиев Навруз Исмуллаевич</v>
      </c>
      <c r="B13" s="14" t="str">
        <f>[1]TDSheet!B14</f>
        <v>Кровельщик</v>
      </c>
      <c r="C13" s="14" t="s">
        <v>26</v>
      </c>
      <c r="D13" s="14" t="s">
        <v>73</v>
      </c>
    </row>
    <row r="14" spans="1:4" x14ac:dyDescent="0.25">
      <c r="A14" s="14" t="str">
        <f>[1]TDSheet!A15</f>
        <v>Клюева Дарья Анатольевна</v>
      </c>
      <c r="B14" s="14" t="str">
        <f>[1]TDSheet!B15</f>
        <v xml:space="preserve">менеджер по персоналу </v>
      </c>
      <c r="C14" s="14" t="s">
        <v>27</v>
      </c>
      <c r="D14" s="14" t="s">
        <v>75</v>
      </c>
    </row>
    <row r="15" spans="1:4" x14ac:dyDescent="0.25">
      <c r="A15" s="14" t="str">
        <f>[1]TDSheet!A16</f>
        <v>Кузьмина Татьяна Вячеславовна</v>
      </c>
      <c r="B15" s="14" t="str">
        <f>[1]TDSheet!B16</f>
        <v>Комендант</v>
      </c>
      <c r="C15" s="14" t="s">
        <v>28</v>
      </c>
      <c r="D15" s="14" t="s">
        <v>76</v>
      </c>
    </row>
    <row r="16" spans="1:4" x14ac:dyDescent="0.25">
      <c r="A16" s="14" t="str">
        <f>[1]TDSheet!A17</f>
        <v>Лапицкий Андрей Михайлович</v>
      </c>
      <c r="B16" s="14" t="str">
        <f>[1]TDSheet!B17</f>
        <v>Главный инженер</v>
      </c>
      <c r="C16" s="14" t="s">
        <v>29</v>
      </c>
      <c r="D16" s="14" t="s">
        <v>77</v>
      </c>
    </row>
    <row r="17" spans="1:4" x14ac:dyDescent="0.25">
      <c r="A17" s="14" t="str">
        <f>[1]TDSheet!A18</f>
        <v>Лисицкая Ирина Николаевна</v>
      </c>
      <c r="B17" s="14" t="str">
        <f>[1]TDSheet!B18</f>
        <v>Заместитель генерального директора по персоналу</v>
      </c>
      <c r="C17" s="14" t="s">
        <v>30</v>
      </c>
      <c r="D17" s="14" t="s">
        <v>78</v>
      </c>
    </row>
    <row r="18" spans="1:4" x14ac:dyDescent="0.25">
      <c r="A18" s="14" t="str">
        <f>[1]TDSheet!A19</f>
        <v>Ляшенко Дмитрий Григорьевич</v>
      </c>
      <c r="B18" s="14" t="str">
        <f>[1]TDSheet!B19</f>
        <v>Помощник кладовщика</v>
      </c>
      <c r="C18" s="14" t="s">
        <v>31</v>
      </c>
      <c r="D18" s="14" t="s">
        <v>79</v>
      </c>
    </row>
    <row r="19" spans="1:4" x14ac:dyDescent="0.25">
      <c r="A19" s="14" t="str">
        <f>[1]TDSheet!A20</f>
        <v>Москвитин Александр Семенович</v>
      </c>
      <c r="B19" s="14" t="str">
        <f>[1]TDSheet!B20</f>
        <v>Генеральный директор</v>
      </c>
      <c r="C19" s="14" t="s">
        <v>32</v>
      </c>
      <c r="D19" s="14" t="s">
        <v>80</v>
      </c>
    </row>
    <row r="20" spans="1:4" x14ac:dyDescent="0.25">
      <c r="A20" s="14" t="str">
        <f>[1]TDSheet!A21</f>
        <v>Москвитина Ольга Сергеевна</v>
      </c>
      <c r="B20" s="14" t="str">
        <f>[1]TDSheet!B21</f>
        <v>Коммерческий директор</v>
      </c>
      <c r="C20" s="14" t="s">
        <v>33</v>
      </c>
      <c r="D20" s="14" t="s">
        <v>81</v>
      </c>
    </row>
    <row r="21" spans="1:4" x14ac:dyDescent="0.25">
      <c r="A21" s="14" t="str">
        <f>[1]TDSheet!A22</f>
        <v>Осепенко Владимир Викторович  (сроч.)</v>
      </c>
      <c r="B21" s="14" t="str">
        <f>[1]TDSheet!B22</f>
        <v>Мастер</v>
      </c>
      <c r="C21" s="14" t="s">
        <v>101</v>
      </c>
      <c r="D21" s="14" t="s">
        <v>70</v>
      </c>
    </row>
    <row r="22" spans="1:4" x14ac:dyDescent="0.25">
      <c r="A22" s="14" t="str">
        <f>[1]TDSheet!A23</f>
        <v>Патетько Сергей Геннадьевич</v>
      </c>
      <c r="B22" s="14" t="str">
        <f>[1]TDSheet!B23</f>
        <v>Кладовщик</v>
      </c>
      <c r="C22" s="14" t="s">
        <v>34</v>
      </c>
      <c r="D22" s="14" t="s">
        <v>82</v>
      </c>
    </row>
    <row r="23" spans="1:4" x14ac:dyDescent="0.25">
      <c r="A23" s="14" t="str">
        <f>[1]TDSheet!A24</f>
        <v>Петров Алексей Константинович</v>
      </c>
      <c r="B23" s="14" t="str">
        <f>[1]TDSheet!B24</f>
        <v>Инженер ПТО</v>
      </c>
      <c r="C23" s="14" t="s">
        <v>35</v>
      </c>
      <c r="D23" s="14" t="s">
        <v>83</v>
      </c>
    </row>
    <row r="24" spans="1:4" x14ac:dyDescent="0.25">
      <c r="A24" s="14" t="str">
        <f>[1]TDSheet!A25</f>
        <v>Ракитин Сергей Александрович</v>
      </c>
      <c r="B24" s="14" t="str">
        <f>[1]TDSheet!B25</f>
        <v>Кровельщик</v>
      </c>
      <c r="C24" s="14" t="s">
        <v>36</v>
      </c>
      <c r="D24" s="14" t="s">
        <v>73</v>
      </c>
    </row>
    <row r="25" spans="1:4" x14ac:dyDescent="0.25">
      <c r="A25" s="14" t="str">
        <f>[1]TDSheet!A26</f>
        <v>Раметов Руслан Базарбаевич</v>
      </c>
      <c r="B25" s="14" t="str">
        <f>[1]TDSheet!B26</f>
        <v>Подсобный рабочий</v>
      </c>
      <c r="C25" s="14" t="s">
        <v>37</v>
      </c>
      <c r="D25" s="14" t="s">
        <v>71</v>
      </c>
    </row>
    <row r="26" spans="1:4" x14ac:dyDescent="0.25">
      <c r="A26" s="14" t="str">
        <f>[1]TDSheet!A27</f>
        <v>Сагийдуллаев Шарапат Омарович</v>
      </c>
      <c r="B26" s="14" t="str">
        <f>[1]TDSheet!B27</f>
        <v>Гидроизолировщик</v>
      </c>
      <c r="C26" s="14" t="s">
        <v>38</v>
      </c>
      <c r="D26" s="14" t="s">
        <v>74</v>
      </c>
    </row>
    <row r="27" spans="1:4" x14ac:dyDescent="0.25">
      <c r="A27" s="14" t="str">
        <f>[1]TDSheet!A28</f>
        <v>Самадов Шарафиддин Эшмаматович</v>
      </c>
      <c r="B27" s="14" t="str">
        <f>[1]TDSheet!B28</f>
        <v>Подсобный рабочий</v>
      </c>
      <c r="C27" s="14" t="s">
        <v>39</v>
      </c>
      <c r="D27" s="14" t="s">
        <v>71</v>
      </c>
    </row>
    <row r="28" spans="1:4" x14ac:dyDescent="0.25">
      <c r="A28" s="14" t="str">
        <f>[1]TDSheet!A29</f>
        <v>Старостина Наталья Юрьевна</v>
      </c>
      <c r="B28" s="14" t="str">
        <f>[1]TDSheet!B29</f>
        <v>Аналитик</v>
      </c>
      <c r="C28" s="14" t="s">
        <v>40</v>
      </c>
      <c r="D28" s="14" t="s">
        <v>84</v>
      </c>
    </row>
    <row r="29" spans="1:4" x14ac:dyDescent="0.25">
      <c r="A29" s="14" t="str">
        <f>[1]TDSheet!A30</f>
        <v>Супрунова Елена Юрьевна</v>
      </c>
      <c r="B29" s="14" t="str">
        <f>[1]TDSheet!B30</f>
        <v>Заместитель генерального директора по финансам и экономике</v>
      </c>
      <c r="C29" s="14" t="s">
        <v>41</v>
      </c>
      <c r="D29" s="14" t="s">
        <v>85</v>
      </c>
    </row>
    <row r="30" spans="1:4" x14ac:dyDescent="0.25">
      <c r="A30" s="14" t="str">
        <f>[1]TDSheet!A31</f>
        <v>Турсинбеков Исламбек Адилбай ули</v>
      </c>
      <c r="B30" s="14" t="str">
        <f>[1]TDSheet!B31</f>
        <v>Подсобный рабочий</v>
      </c>
      <c r="C30" s="14" t="s">
        <v>42</v>
      </c>
      <c r="D30" s="14" t="s">
        <v>71</v>
      </c>
    </row>
    <row r="31" spans="1:4" x14ac:dyDescent="0.25">
      <c r="A31" s="14" t="str">
        <f>[1]TDSheet!A32</f>
        <v>Уразбаев Рустем Шарибаевич</v>
      </c>
      <c r="B31" s="14" t="str">
        <f>[1]TDSheet!B32</f>
        <v>Подсобный рабочий</v>
      </c>
      <c r="C31" s="14" t="s">
        <v>43</v>
      </c>
      <c r="D31" s="14" t="s">
        <v>71</v>
      </c>
    </row>
    <row r="32" spans="1:4" x14ac:dyDescent="0.25">
      <c r="A32" s="14" t="str">
        <f>[1]TDSheet!A33</f>
        <v>Федорова Дарья Александровна</v>
      </c>
      <c r="B32" s="14" t="str">
        <f>[1]TDSheet!B33</f>
        <v>Техник ПТО</v>
      </c>
      <c r="C32" s="14" t="s">
        <v>44</v>
      </c>
      <c r="D32" s="14" t="s">
        <v>86</v>
      </c>
    </row>
    <row r="33" spans="1:4" x14ac:dyDescent="0.25">
      <c r="A33" s="14" t="str">
        <f>[1]TDSheet!A34</f>
        <v>Хлань Алексей Юрьевич</v>
      </c>
      <c r="B33" s="14" t="str">
        <f>[1]TDSheet!B34</f>
        <v>Производитель работ</v>
      </c>
      <c r="C33" s="14" t="s">
        <v>45</v>
      </c>
      <c r="D33" s="14" t="s">
        <v>72</v>
      </c>
    </row>
    <row r="34" spans="1:4" x14ac:dyDescent="0.25">
      <c r="A34" s="14" t="str">
        <f>[1]TDSheet!A35</f>
        <v>Холов Сангали Махмадюнусович</v>
      </c>
      <c r="B34" s="14" t="str">
        <f>[1]TDSheet!B35</f>
        <v>Подсобный рабочий</v>
      </c>
      <c r="C34" s="14" t="s">
        <v>46</v>
      </c>
      <c r="D34" s="14" t="s">
        <v>71</v>
      </c>
    </row>
    <row r="35" spans="1:4" x14ac:dyDescent="0.25">
      <c r="A35" s="14" t="str">
        <f>[1]TDSheet!A36</f>
        <v>Шуберт Юрий Станиславович</v>
      </c>
      <c r="B35" s="14" t="str">
        <f>[1]TDSheet!B36</f>
        <v>Кровельщик</v>
      </c>
      <c r="C35" s="14" t="s">
        <v>47</v>
      </c>
      <c r="D35" s="14" t="s">
        <v>73</v>
      </c>
    </row>
    <row r="36" spans="1:4" x14ac:dyDescent="0.25">
      <c r="A36" s="14" t="str">
        <f>[1]TDSheet!A37</f>
        <v>Ибиев Эсен Рабаданович</v>
      </c>
      <c r="B36" s="14" t="str">
        <f>[1]TDSheet!B37</f>
        <v>Кровельщик</v>
      </c>
      <c r="C36" s="14" t="s">
        <v>48</v>
      </c>
      <c r="D36" s="14" t="s">
        <v>73</v>
      </c>
    </row>
    <row r="37" spans="1:4" x14ac:dyDescent="0.25">
      <c r="A37" s="14" t="str">
        <f>[1]TDSheet!A38</f>
        <v>Магомедов Магомед Салихович</v>
      </c>
      <c r="B37" s="14" t="str">
        <f>[1]TDSheet!B38</f>
        <v>Кровельщик</v>
      </c>
      <c r="C37" s="14" t="s">
        <v>49</v>
      </c>
      <c r="D37" s="14" t="s">
        <v>73</v>
      </c>
    </row>
    <row r="38" spans="1:4" x14ac:dyDescent="0.25">
      <c r="A38" s="14" t="str">
        <f>[1]TDSheet!A39</f>
        <v>Расулов Шихмагомед Шарапович</v>
      </c>
      <c r="B38" s="14" t="str">
        <f>[1]TDSheet!B39</f>
        <v>Кровельщик</v>
      </c>
      <c r="C38" s="14" t="s">
        <v>50</v>
      </c>
      <c r="D38" s="14" t="s">
        <v>73</v>
      </c>
    </row>
    <row r="39" spans="1:4" x14ac:dyDescent="0.25">
      <c r="A39" s="14" t="str">
        <f>[1]TDSheet!A40</f>
        <v xml:space="preserve">Балуев Алексей Александрович </v>
      </c>
      <c r="B39" s="14" t="str">
        <f>[1]TDSheet!B40</f>
        <v>инженер</v>
      </c>
      <c r="C39" s="14" t="s">
        <v>51</v>
      </c>
      <c r="D39" s="14" t="s">
        <v>87</v>
      </c>
    </row>
    <row r="40" spans="1:4" x14ac:dyDescent="0.25">
      <c r="A40" s="14" t="str">
        <f>[1]TDSheet!A41</f>
        <v>Балуев Семен Алексеевич</v>
      </c>
      <c r="B40" s="14" t="str">
        <f>[1]TDSheet!B41</f>
        <v xml:space="preserve">монтажник- высотник </v>
      </c>
      <c r="C40" s="14" t="s">
        <v>52</v>
      </c>
      <c r="D40" s="14" t="s">
        <v>88</v>
      </c>
    </row>
    <row r="41" spans="1:4" x14ac:dyDescent="0.25">
      <c r="A41" s="14" t="str">
        <f>[1]TDSheet!A42</f>
        <v xml:space="preserve">Быковских Дмитрий Сергеевич </v>
      </c>
      <c r="B41" s="14" t="str">
        <f>[1]TDSheet!B42</f>
        <v xml:space="preserve">монтажник- высотник </v>
      </c>
      <c r="C41" s="14" t="s">
        <v>53</v>
      </c>
      <c r="D41" s="14" t="s">
        <v>88</v>
      </c>
    </row>
    <row r="42" spans="1:4" x14ac:dyDescent="0.25">
      <c r="A42" s="14" t="str">
        <f>[1]TDSheet!A43</f>
        <v xml:space="preserve">Аскандаров Аскандар Лукманович </v>
      </c>
      <c r="B42" s="14" t="str">
        <f>[1]TDSheet!B43</f>
        <v xml:space="preserve">монтажник- высотник </v>
      </c>
      <c r="C42" s="14" t="s">
        <v>54</v>
      </c>
      <c r="D42" s="14" t="s">
        <v>88</v>
      </c>
    </row>
    <row r="43" spans="1:4" x14ac:dyDescent="0.25">
      <c r="A43" s="14" t="str">
        <f>[1]TDSheet!A44</f>
        <v>Гусейнов Максим Гираевич</v>
      </c>
      <c r="B43" s="14" t="str">
        <f>[1]TDSheet!B44</f>
        <v xml:space="preserve">монтажник- высотник </v>
      </c>
      <c r="C43" s="14" t="s">
        <v>55</v>
      </c>
      <c r="D43" s="14" t="s">
        <v>88</v>
      </c>
    </row>
    <row r="44" spans="1:4" x14ac:dyDescent="0.25">
      <c r="A44" s="14" t="str">
        <f>[1]TDSheet!A45</f>
        <v>Сазонов Вячеслав Борисович</v>
      </c>
      <c r="B44" s="14" t="str">
        <f>[1]TDSheet!B45</f>
        <v xml:space="preserve">монтажник- высотник </v>
      </c>
      <c r="C44" s="14" t="s">
        <v>56</v>
      </c>
      <c r="D44" s="14" t="s">
        <v>88</v>
      </c>
    </row>
    <row r="45" spans="1:4" x14ac:dyDescent="0.25">
      <c r="A45" s="14" t="str">
        <f>[1]TDSheet!A46</f>
        <v>Семенцов Александр Сергеевич</v>
      </c>
      <c r="B45" s="14" t="str">
        <f>[1]TDSheet!B46</f>
        <v>Гидроизолировщик</v>
      </c>
      <c r="C45" s="14" t="s">
        <v>57</v>
      </c>
      <c r="D45" s="14" t="s">
        <v>74</v>
      </c>
    </row>
    <row r="46" spans="1:4" x14ac:dyDescent="0.25">
      <c r="A46" s="14" t="str">
        <f>[1]TDSheet!A47</f>
        <v xml:space="preserve">Ламбринов Николай Фёдорович </v>
      </c>
      <c r="B46" s="14" t="str">
        <f>[1]TDSheet!B47</f>
        <v>Подсобный рабочий</v>
      </c>
      <c r="C46" s="14" t="s">
        <v>58</v>
      </c>
      <c r="D46" s="14" t="s">
        <v>71</v>
      </c>
    </row>
    <row r="47" spans="1:4" x14ac:dyDescent="0.25">
      <c r="A47" s="14" t="str">
        <f>[1]TDSheet!A48</f>
        <v>Беленков Александр Владимирович</v>
      </c>
      <c r="B47" s="14" t="str">
        <f>[1]TDSheet!B48</f>
        <v>Кровельщик</v>
      </c>
      <c r="C47" s="14" t="s">
        <v>59</v>
      </c>
      <c r="D47" s="14" t="s">
        <v>73</v>
      </c>
    </row>
    <row r="48" spans="1:4" x14ac:dyDescent="0.25">
      <c r="A48" s="14" t="str">
        <f>[1]TDSheet!A49</f>
        <v xml:space="preserve">Турешов Азатбай Даулетбаевич </v>
      </c>
      <c r="B48" s="14" t="str">
        <f>[1]TDSheet!B49</f>
        <v>Подсобный рабочий</v>
      </c>
      <c r="C48" s="14" t="s">
        <v>60</v>
      </c>
      <c r="D48" s="14" t="s">
        <v>71</v>
      </c>
    </row>
    <row r="49" spans="1:4" x14ac:dyDescent="0.25">
      <c r="A49" s="14" t="str">
        <f>[1]TDSheet!A50</f>
        <v>Торемуратов Мухтарбай Базарбаевич</v>
      </c>
      <c r="B49" s="14" t="str">
        <f>[1]TDSheet!B50</f>
        <v>Подсобный рабочий</v>
      </c>
      <c r="C49" s="14" t="s">
        <v>61</v>
      </c>
      <c r="D49" s="14" t="s">
        <v>71</v>
      </c>
    </row>
    <row r="50" spans="1:4" x14ac:dyDescent="0.25">
      <c r="A50" s="14" t="str">
        <f>[1]TDSheet!A51</f>
        <v>Меркулов Виктор Николаевич</v>
      </c>
      <c r="B50" s="14" t="str">
        <f>[1]TDSheet!B51</f>
        <v>Подсобный рабочий</v>
      </c>
      <c r="C50" s="14" t="s">
        <v>62</v>
      </c>
      <c r="D50" s="14" t="s">
        <v>71</v>
      </c>
    </row>
    <row r="51" spans="1:4" x14ac:dyDescent="0.25">
      <c r="A51" s="14" t="str">
        <f>[1]TDSheet!A52</f>
        <v>Магомедов Мурад Абдулаевич</v>
      </c>
      <c r="B51" s="14" t="str">
        <f>[1]TDSheet!B52</f>
        <v>Подсобный рабочий</v>
      </c>
      <c r="C51" s="14" t="s">
        <v>63</v>
      </c>
      <c r="D51" s="14" t="s">
        <v>71</v>
      </c>
    </row>
    <row r="52" spans="1:4" x14ac:dyDescent="0.25">
      <c r="A52" s="14" t="str">
        <f>[1]TDSheet!A53</f>
        <v>Аблаева Виктория Николаевна</v>
      </c>
      <c r="B52" s="14" t="str">
        <f>[1]TDSheet!B53</f>
        <v>Помощник директора</v>
      </c>
      <c r="C52" s="14" t="s">
        <v>64</v>
      </c>
      <c r="D52" s="14" t="s">
        <v>89</v>
      </c>
    </row>
    <row r="53" spans="1:4" x14ac:dyDescent="0.25">
      <c r="A53" s="14" t="str">
        <f>[1]TDSheet!A54</f>
        <v xml:space="preserve">Даулетбаев Сагийтжан Бахытжанович </v>
      </c>
      <c r="B53" s="14" t="str">
        <f>[1]TDSheet!B54</f>
        <v>Подсобный рабочий</v>
      </c>
      <c r="C53" s="14" t="s">
        <v>65</v>
      </c>
      <c r="D53" s="14" t="s">
        <v>71</v>
      </c>
    </row>
    <row r="54" spans="1:4" x14ac:dyDescent="0.25">
      <c r="A54" s="14" t="str">
        <f>[1]TDSheet!A55</f>
        <v>Ибиев Рабадан Эсенович</v>
      </c>
      <c r="B54" s="14" t="str">
        <f>[1]TDSheet!B55</f>
        <v>Подсобный рабочий</v>
      </c>
      <c r="C54" s="14" t="s">
        <v>66</v>
      </c>
      <c r="D54" s="14" t="s">
        <v>71</v>
      </c>
    </row>
    <row r="55" spans="1:4" x14ac:dyDescent="0.25">
      <c r="A55" s="14" t="str">
        <f>[1]TDSheet!A56</f>
        <v>Омаров Ахмед Абдулкадирович</v>
      </c>
      <c r="B55" s="14" t="str">
        <f>[1]TDSheet!B56</f>
        <v>Подсобный рабочий</v>
      </c>
      <c r="C55" s="14" t="s">
        <v>67</v>
      </c>
      <c r="D55" s="14" t="s">
        <v>71</v>
      </c>
    </row>
    <row r="56" spans="1:4" x14ac:dyDescent="0.25">
      <c r="A56" s="14" t="str">
        <f>[1]TDSheet!A57</f>
        <v>Раджабов Арслан Шапиевич</v>
      </c>
      <c r="B56" s="14" t="str">
        <f>[1]TDSheet!B57</f>
        <v>Гидроизолировщик</v>
      </c>
      <c r="C56" s="14" t="s">
        <v>68</v>
      </c>
      <c r="D56" s="14" t="s">
        <v>74</v>
      </c>
    </row>
    <row r="57" spans="1:4" x14ac:dyDescent="0.25">
      <c r="A57" s="14" t="str">
        <f>[1]TDSheet!A58</f>
        <v>Якшибаев Даулет Булатович</v>
      </c>
      <c r="B57" s="14" t="str">
        <f>[1]TDSheet!B58</f>
        <v>Подсобный рабочий</v>
      </c>
      <c r="C57" s="14" t="s">
        <v>69</v>
      </c>
      <c r="D57" s="14" t="s">
        <v>71</v>
      </c>
    </row>
    <row r="58" spans="1:4" x14ac:dyDescent="0.25">
      <c r="A58" s="14" t="str">
        <f>[1]TDSheet!A59</f>
        <v>Бобриков Евгений Валерьевич</v>
      </c>
      <c r="B58" s="14" t="str">
        <f>[1]TDSheet!B59</f>
        <v>Подсобный рабочий</v>
      </c>
      <c r="C58" s="14" t="s">
        <v>90</v>
      </c>
      <c r="D58" s="14" t="s">
        <v>71</v>
      </c>
    </row>
    <row r="59" spans="1:4" x14ac:dyDescent="0.25">
      <c r="A59" s="14" t="str">
        <f>[1]TDSheet!A60</f>
        <v>Останин Сергей Геннадиевич</v>
      </c>
      <c r="B59" s="14" t="str">
        <f>[1]TDSheet!B60</f>
        <v>Подсобный рабочий</v>
      </c>
      <c r="C59" s="14" t="s">
        <v>91</v>
      </c>
      <c r="D59" s="14" t="s">
        <v>71</v>
      </c>
    </row>
    <row r="60" spans="1:4" x14ac:dyDescent="0.25">
      <c r="A60" s="14" t="str">
        <f>[1]TDSheet!A61</f>
        <v>Кореньчук Павел Владимирович</v>
      </c>
      <c r="B60" s="14" t="str">
        <f>[1]TDSheet!B61</f>
        <v>Стяжечник</v>
      </c>
      <c r="C60" s="14" t="s">
        <v>102</v>
      </c>
      <c r="D60" s="14" t="s">
        <v>103</v>
      </c>
    </row>
    <row r="61" spans="1:4" x14ac:dyDescent="0.25">
      <c r="A61" s="14" t="str">
        <f>[1]TDSheet!A62</f>
        <v xml:space="preserve">Анисимов Дмитрий Юрьевич </v>
      </c>
      <c r="B61" s="14" t="str">
        <f>[1]TDSheet!B62</f>
        <v>Стяжечник</v>
      </c>
      <c r="C61" s="14" t="s">
        <v>92</v>
      </c>
      <c r="D61" s="14" t="s">
        <v>103</v>
      </c>
    </row>
    <row r="62" spans="1:4" x14ac:dyDescent="0.25">
      <c r="A62" s="14" t="str">
        <f>[1]TDSheet!A63</f>
        <v xml:space="preserve">Ирбулин Сергей Игоревич </v>
      </c>
      <c r="B62" s="14" t="str">
        <f>[1]TDSheet!B63</f>
        <v>Стяжечник</v>
      </c>
      <c r="C62" s="14" t="s">
        <v>93</v>
      </c>
      <c r="D62" s="14" t="s">
        <v>103</v>
      </c>
    </row>
    <row r="63" spans="1:4" x14ac:dyDescent="0.25">
      <c r="A63" s="14" t="str">
        <f>[1]TDSheet!A64</f>
        <v>Котов Иван Александрович</v>
      </c>
      <c r="B63" s="14" t="str">
        <f>[1]TDSheet!B64</f>
        <v>Начальник участка</v>
      </c>
      <c r="C63" s="14" t="s">
        <v>94</v>
      </c>
      <c r="D63" s="14" t="s">
        <v>104</v>
      </c>
    </row>
    <row r="64" spans="1:4" x14ac:dyDescent="0.25">
      <c r="A64" s="14" t="str">
        <f>[1]TDSheet!A65</f>
        <v>Семенов Геннадий Александрович</v>
      </c>
      <c r="B64" s="14" t="str">
        <f>[1]TDSheet!B65</f>
        <v>Стяжечник</v>
      </c>
      <c r="C64" s="14" t="s">
        <v>95</v>
      </c>
      <c r="D64" s="14" t="s">
        <v>103</v>
      </c>
    </row>
    <row r="65" spans="1:4" x14ac:dyDescent="0.25">
      <c r="A65" s="14" t="str">
        <f>[1]TDSheet!A66</f>
        <v>Скавронский Алексей Иванович</v>
      </c>
      <c r="B65" s="14" t="str">
        <f>[1]TDSheet!B66</f>
        <v>Руководитель проекта</v>
      </c>
      <c r="C65" s="14" t="s">
        <v>96</v>
      </c>
      <c r="D65" s="14" t="s">
        <v>105</v>
      </c>
    </row>
    <row r="66" spans="1:4" x14ac:dyDescent="0.25">
      <c r="A66" t="str">
        <f>[1]TDSheet!A67</f>
        <v>Барсуков Михаил Николаевич</v>
      </c>
      <c r="B66" t="str">
        <f>[1]TDSheet!B67</f>
        <v>Кровельщик</v>
      </c>
      <c r="C66" s="14" t="s">
        <v>97</v>
      </c>
      <c r="D66" s="14" t="s">
        <v>73</v>
      </c>
    </row>
    <row r="67" spans="1:4" x14ac:dyDescent="0.25">
      <c r="A67" t="str">
        <f>[1]TDSheet!A68</f>
        <v>Устинова Анастасия Алексеевна</v>
      </c>
      <c r="B67" t="str">
        <f>[1]TDSheet!B68</f>
        <v>Инженер-сметчик</v>
      </c>
      <c r="C67" s="14" t="s">
        <v>98</v>
      </c>
      <c r="D67" s="14" t="s">
        <v>106</v>
      </c>
    </row>
    <row r="68" spans="1:4" x14ac:dyDescent="0.25">
      <c r="A68" t="str">
        <f>[1]TDSheet!A69</f>
        <v>Кострикин Юрий Владимирович</v>
      </c>
      <c r="B68" t="str">
        <f>[1]TDSheet!B69</f>
        <v>Инженер ПТО</v>
      </c>
      <c r="C68" s="14" t="s">
        <v>99</v>
      </c>
      <c r="D68" s="14" t="s">
        <v>83</v>
      </c>
    </row>
    <row r="69" spans="1:4" x14ac:dyDescent="0.25">
      <c r="A69" t="str">
        <f>[1]TDSheet!A70</f>
        <v>Киселева Мария Алексеевна</v>
      </c>
      <c r="B69" t="str">
        <f>[1]TDSheet!B70</f>
        <v>Помощник директора</v>
      </c>
      <c r="C69" s="14" t="s">
        <v>141</v>
      </c>
      <c r="D69" s="14" t="s">
        <v>89</v>
      </c>
    </row>
    <row r="70" spans="1:4" x14ac:dyDescent="0.25">
      <c r="A70" t="str">
        <f>[1]TDSheet!A71</f>
        <v>Фаёзов Кобилчон Комилчонович</v>
      </c>
      <c r="B70" t="str">
        <f>[1]TDSheet!B71</f>
        <v>Подсобный рабочий</v>
      </c>
      <c r="C70" s="14" t="s">
        <v>142</v>
      </c>
      <c r="D70" s="14" t="s">
        <v>71</v>
      </c>
    </row>
    <row r="71" spans="1:4" x14ac:dyDescent="0.25">
      <c r="A71" t="str">
        <f>[1]TDSheet!A72</f>
        <v>Матжанов Тазабай Шарибаевич</v>
      </c>
      <c r="B71" t="str">
        <f>[1]TDSheet!B72</f>
        <v>Подсобный рабочий</v>
      </c>
      <c r="C71" s="14" t="s">
        <v>143</v>
      </c>
      <c r="D71" s="14" t="s">
        <v>71</v>
      </c>
    </row>
    <row r="72" spans="1:4" x14ac:dyDescent="0.25">
      <c r="A72" t="str">
        <f>[1]TDSheet!A73</f>
        <v>Лакаев Махмадсобир Махмадшарифович</v>
      </c>
      <c r="B72" t="str">
        <f>[1]TDSheet!B73</f>
        <v>Подсобный рабочий</v>
      </c>
      <c r="C72" s="14" t="s">
        <v>144</v>
      </c>
      <c r="D72" s="14" t="s">
        <v>71</v>
      </c>
    </row>
    <row r="73" spans="1:4" x14ac:dyDescent="0.25">
      <c r="A73" t="str">
        <f>[1]TDSheet!A74</f>
        <v>Курбонов Айниддин Абдулвосеъович</v>
      </c>
      <c r="B73" t="str">
        <f>[1]TDSheet!B74</f>
        <v>Подсобный рабочий</v>
      </c>
      <c r="C73" s="14" t="s">
        <v>145</v>
      </c>
      <c r="D73" s="14" t="s">
        <v>71</v>
      </c>
    </row>
    <row r="74" spans="1:4" x14ac:dyDescent="0.25">
      <c r="A74" t="str">
        <f>[1]TDSheet!A75</f>
        <v>Мирзоалиев Бобошох Мирзомудинович</v>
      </c>
      <c r="B74" t="str">
        <f>[1]TDSheet!B75</f>
        <v>Подсобный рабочий</v>
      </c>
      <c r="C74" s="14" t="s">
        <v>146</v>
      </c>
      <c r="D74" s="14" t="s">
        <v>71</v>
      </c>
    </row>
    <row r="75" spans="1:4" x14ac:dyDescent="0.25">
      <c r="A75" t="str">
        <f>[1]TDSheet!A76</f>
        <v>Белоусов Роман Александрович</v>
      </c>
      <c r="B75" t="str">
        <f>[1]TDSheet!B76</f>
        <v>Кровельщик</v>
      </c>
      <c r="C75" s="14" t="s">
        <v>147</v>
      </c>
      <c r="D75" s="14" t="s">
        <v>73</v>
      </c>
    </row>
    <row r="76" spans="1:4" x14ac:dyDescent="0.25">
      <c r="A76" t="str">
        <f>[1]TDSheet!A77</f>
        <v>Рыбалка Петр Анатольевич</v>
      </c>
      <c r="B76" t="str">
        <f>[1]TDSheet!B77</f>
        <v>Кровельщик</v>
      </c>
      <c r="C76" s="14" t="s">
        <v>148</v>
      </c>
      <c r="D76" s="14" t="s">
        <v>73</v>
      </c>
    </row>
    <row r="77" spans="1:4" x14ac:dyDescent="0.25">
      <c r="A77" t="str">
        <f>[1]TDSheet!A78</f>
        <v>Курбонов Ахлиддин Абдулвосеъович</v>
      </c>
      <c r="B77" t="str">
        <f>[1]TDSheet!B78</f>
        <v>Подсобный рабочий</v>
      </c>
      <c r="C77" s="14" t="s">
        <v>149</v>
      </c>
      <c r="D77" s="14" t="s">
        <v>71</v>
      </c>
    </row>
    <row r="78" spans="1:4" x14ac:dyDescent="0.25">
      <c r="A78" t="str">
        <f>[1]TDSheet!A79</f>
        <v>Ахмадов Абдулмумин Абдулманонович</v>
      </c>
      <c r="B78" t="str">
        <f>[1]TDSheet!B79</f>
        <v>Подсобный рабочий</v>
      </c>
      <c r="C78" s="14" t="s">
        <v>150</v>
      </c>
      <c r="D78" s="14" t="s">
        <v>71</v>
      </c>
    </row>
    <row r="79" spans="1:4" x14ac:dyDescent="0.25">
      <c r="A79" t="str">
        <f>[1]TDSheet!A80</f>
        <v>Воронина Юлия Сергеевна</v>
      </c>
      <c r="B79" t="str">
        <f>[1]TDSheet!B80</f>
        <v>Инженет пто</v>
      </c>
      <c r="C79" s="14" t="s">
        <v>151</v>
      </c>
      <c r="D79" s="14" t="s">
        <v>156</v>
      </c>
    </row>
    <row r="80" spans="1:4" x14ac:dyDescent="0.25">
      <c r="A80" t="str">
        <f>[1]TDSheet!A81</f>
        <v>Шарипов Рустам Хайдарович</v>
      </c>
      <c r="B80" t="str">
        <f>[1]TDSheet!B81</f>
        <v>Подсобный рабочий</v>
      </c>
      <c r="C80" s="14" t="s">
        <v>152</v>
      </c>
      <c r="D80" s="14" t="s">
        <v>71</v>
      </c>
    </row>
    <row r="81" spans="1:4" x14ac:dyDescent="0.25">
      <c r="A81" t="str">
        <f>[1]TDSheet!A82</f>
        <v>Шарифов Бахриддин Давлахмадович</v>
      </c>
      <c r="B81" t="str">
        <f>[1]TDSheet!B82</f>
        <v>Подсобный рабочий</v>
      </c>
      <c r="C81" s="14" t="s">
        <v>153</v>
      </c>
      <c r="D81" s="14" t="s">
        <v>71</v>
      </c>
    </row>
    <row r="82" spans="1:4" x14ac:dyDescent="0.25">
      <c r="A82" t="str">
        <f>[1]TDSheet!A83</f>
        <v>Нуралиев Максудали Назарович</v>
      </c>
      <c r="B82" t="str">
        <f>[1]TDSheet!B83</f>
        <v>Подсобный рабочий</v>
      </c>
      <c r="C82" s="14" t="s">
        <v>154</v>
      </c>
      <c r="D82" s="14" t="s">
        <v>71</v>
      </c>
    </row>
    <row r="83" spans="1:4" x14ac:dyDescent="0.25">
      <c r="A83" t="str">
        <f>[1]TDSheet!A84</f>
        <v>Халилов Муборакшо Алимардонович</v>
      </c>
      <c r="B83" t="str">
        <f>[1]TDSheet!B84</f>
        <v>Подсобный рабочий</v>
      </c>
      <c r="C83" s="14" t="s">
        <v>155</v>
      </c>
      <c r="D83" s="14" t="s">
        <v>71</v>
      </c>
    </row>
    <row r="84" spans="1:4" x14ac:dyDescent="0.25">
      <c r="A84" t="str">
        <f>[1]TDSheet!A85</f>
        <v>Запорожан Алексей Иванович</v>
      </c>
      <c r="B84" t="str">
        <f>[1]TDSheet!B85</f>
        <v>Стяжечник</v>
      </c>
      <c r="C84" s="14" t="s">
        <v>110</v>
      </c>
      <c r="D84" s="14" t="s">
        <v>103</v>
      </c>
    </row>
    <row r="85" spans="1:4" x14ac:dyDescent="0.25">
      <c r="A85" t="str">
        <f>[1]TDSheet!A86</f>
        <v>Полянских Александр Иванович</v>
      </c>
      <c r="B85" t="str">
        <f>[1]TDSheet!B86</f>
        <v>Стяжечник</v>
      </c>
      <c r="C85" s="14" t="s">
        <v>111</v>
      </c>
      <c r="D85" s="14" t="s">
        <v>103</v>
      </c>
    </row>
    <row r="86" spans="1:4" x14ac:dyDescent="0.25">
      <c r="A86" t="str">
        <f>[1]TDSheet!A87</f>
        <v>Рыбаков Игорь Вячеславович</v>
      </c>
      <c r="B86" t="str">
        <f>[1]TDSheet!B87</f>
        <v>Стяжечник</v>
      </c>
      <c r="C86" s="14" t="s">
        <v>112</v>
      </c>
      <c r="D86" s="14" t="s">
        <v>103</v>
      </c>
    </row>
    <row r="87" spans="1:4" x14ac:dyDescent="0.25">
      <c r="A87" t="str">
        <f>[1]TDSheet!A88</f>
        <v>Ласунин Владимир Васильевич</v>
      </c>
      <c r="B87" t="str">
        <f>[1]TDSheet!B88</f>
        <v>Стяжечник</v>
      </c>
      <c r="C87" s="14" t="s">
        <v>113</v>
      </c>
      <c r="D87" s="14" t="s">
        <v>103</v>
      </c>
    </row>
    <row r="88" spans="1:4" x14ac:dyDescent="0.25">
      <c r="A88" t="str">
        <f>[1]TDSheet!A89</f>
        <v>Болтабоев Хурсандбек  Кучкарович</v>
      </c>
      <c r="B88" t="str">
        <f>[1]TDSheet!B89</f>
        <v>Стяжечник</v>
      </c>
      <c r="C88" s="14" t="s">
        <v>114</v>
      </c>
      <c r="D88" s="14" t="s">
        <v>103</v>
      </c>
    </row>
    <row r="89" spans="1:4" x14ac:dyDescent="0.25">
      <c r="A89" t="str">
        <f>[1]TDSheet!A90</f>
        <v>Иванченко Юрий Николаевич</v>
      </c>
      <c r="B89" t="str">
        <f>[1]TDSheet!B90</f>
        <v>Подсобный рабочий</v>
      </c>
      <c r="C89" s="14" t="s">
        <v>115</v>
      </c>
      <c r="D89" s="14" t="s">
        <v>71</v>
      </c>
    </row>
    <row r="90" spans="1:4" x14ac:dyDescent="0.25">
      <c r="A90" t="str">
        <f>[1]TDSheet!A91</f>
        <v>Бахвалов Евгений Александрович</v>
      </c>
      <c r="B90" t="str">
        <f>[1]TDSheet!B91</f>
        <v>Подсобный рабочий</v>
      </c>
      <c r="C90" s="14" t="s">
        <v>116</v>
      </c>
      <c r="D90" s="14" t="s">
        <v>71</v>
      </c>
    </row>
    <row r="91" spans="1:4" x14ac:dyDescent="0.25">
      <c r="A91" t="str">
        <f>[1]TDSheet!A92</f>
        <v>Запорожан Виталий Алексеевич</v>
      </c>
      <c r="B91" t="str">
        <f>[1]TDSheet!B92</f>
        <v>Подсобный рабочий</v>
      </c>
      <c r="C91" s="14" t="s">
        <v>117</v>
      </c>
      <c r="D91" s="14" t="s">
        <v>71</v>
      </c>
    </row>
    <row r="92" spans="1:4" x14ac:dyDescent="0.25">
      <c r="A92" t="str">
        <f>[1]TDSheet!A93</f>
        <v>Мирзамуратов Полат Алламбергенович</v>
      </c>
      <c r="B92" t="str">
        <f>[1]TDSheet!B93</f>
        <v>Подсобный рабочий</v>
      </c>
      <c r="C92" s="14" t="s">
        <v>118</v>
      </c>
      <c r="D92" s="14" t="s">
        <v>71</v>
      </c>
    </row>
    <row r="93" spans="1:4" x14ac:dyDescent="0.25">
      <c r="A93" t="str">
        <f>[1]TDSheet!A94</f>
        <v>Нусратов Фаридун Тураджонович</v>
      </c>
      <c r="B93" t="str">
        <f>[1]TDSheet!B94</f>
        <v>Подсобный рабочий</v>
      </c>
      <c r="C93" s="14" t="s">
        <v>119</v>
      </c>
      <c r="D93" s="14" t="s">
        <v>71</v>
      </c>
    </row>
    <row r="94" spans="1:4" x14ac:dyDescent="0.25">
      <c r="A94" t="str">
        <f>[1]TDSheet!A95</f>
        <v xml:space="preserve">Лутфулои Убайдуло </v>
      </c>
      <c r="B94" t="str">
        <f>[1]TDSheet!B95</f>
        <v>Подсобный рабочий</v>
      </c>
      <c r="C94" s="14" t="s">
        <v>120</v>
      </c>
      <c r="D94" s="14" t="s">
        <v>71</v>
      </c>
    </row>
    <row r="95" spans="1:4" x14ac:dyDescent="0.25">
      <c r="A95" t="str">
        <f>[1]TDSheet!A96</f>
        <v>Чалолзода Саймидин</v>
      </c>
      <c r="B95" t="str">
        <f>[1]TDSheet!B96</f>
        <v>Подсобный рабочий</v>
      </c>
      <c r="C95" s="14" t="s">
        <v>121</v>
      </c>
      <c r="D95" s="14" t="s">
        <v>71</v>
      </c>
    </row>
    <row r="96" spans="1:4" x14ac:dyDescent="0.25">
      <c r="A96" t="str">
        <f>[1]TDSheet!A97</f>
        <v>Шаволи Неъматулло</v>
      </c>
      <c r="B96" t="str">
        <f>[1]TDSheet!B97</f>
        <v>Подсобный рабочий</v>
      </c>
      <c r="C96" s="14" t="s">
        <v>122</v>
      </c>
      <c r="D96" s="14" t="s">
        <v>71</v>
      </c>
    </row>
    <row r="97" spans="1:4" x14ac:dyDescent="0.25">
      <c r="A97" t="str">
        <f>[1]TDSheet!A98</f>
        <v>Нусратов Далер Маъруфджонович</v>
      </c>
      <c r="B97" t="str">
        <f>[1]TDSheet!B98</f>
        <v>Подсобный рабочий</v>
      </c>
      <c r="C97" s="14" t="s">
        <v>123</v>
      </c>
      <c r="D97" s="14" t="s">
        <v>71</v>
      </c>
    </row>
    <row r="98" spans="1:4" x14ac:dyDescent="0.25">
      <c r="A98" t="str">
        <f>[1]TDSheet!A99</f>
        <v>Красноруцкая Екакатерина Юрьевна</v>
      </c>
      <c r="B98" t="str">
        <f>[1]TDSheet!B99</f>
        <v>Бухгалтер</v>
      </c>
      <c r="C98" s="14" t="s">
        <v>124</v>
      </c>
      <c r="D98" s="14" t="s">
        <v>140</v>
      </c>
    </row>
    <row r="99" spans="1:4" x14ac:dyDescent="0.25">
      <c r="A99" t="str">
        <f>[1]TDSheet!A100</f>
        <v>Джобиров Абдумуталиб Аловдинович</v>
      </c>
      <c r="B99" t="str">
        <f>[1]TDSheet!B100</f>
        <v>Подсобный рабочий</v>
      </c>
      <c r="C99" s="14" t="s">
        <v>125</v>
      </c>
      <c r="D99" s="14" t="s">
        <v>71</v>
      </c>
    </row>
    <row r="100" spans="1:4" x14ac:dyDescent="0.25">
      <c r="A100" t="str">
        <f>[1]TDSheet!A101</f>
        <v>Исроилов Сиротулло Абдухафизович</v>
      </c>
      <c r="B100" t="str">
        <f>[1]TDSheet!B101</f>
        <v>Подсобный рабочий</v>
      </c>
      <c r="C100" s="14" t="s">
        <v>126</v>
      </c>
      <c r="D100" s="14" t="s">
        <v>71</v>
      </c>
    </row>
    <row r="101" spans="1:4" x14ac:dyDescent="0.25">
      <c r="A101" t="str">
        <f>[1]TDSheet!A102</f>
        <v>Табинбаев Бекзод Мажит Угли</v>
      </c>
      <c r="B101" t="str">
        <f>[1]TDSheet!B102</f>
        <v>Подсобный рабочий</v>
      </c>
      <c r="C101" s="14" t="s">
        <v>127</v>
      </c>
      <c r="D101" s="14" t="s">
        <v>71</v>
      </c>
    </row>
    <row r="102" spans="1:4" x14ac:dyDescent="0.25">
      <c r="A102" t="str">
        <f>[1]TDSheet!A103</f>
        <v>Давлатов Курбонали Шарофидинович</v>
      </c>
      <c r="B102" t="str">
        <f>[1]TDSheet!B103</f>
        <v>Подсобный рабочий</v>
      </c>
      <c r="C102" s="14" t="s">
        <v>128</v>
      </c>
      <c r="D102" s="14" t="s">
        <v>71</v>
      </c>
    </row>
    <row r="103" spans="1:4" x14ac:dyDescent="0.25">
      <c r="A103" t="str">
        <f>[1]TDSheet!A104</f>
        <v>Абдулваххобов Абдулхамид Пулодович</v>
      </c>
      <c r="B103" t="str">
        <f>[1]TDSheet!B104</f>
        <v>Подсобный рабочий</v>
      </c>
      <c r="C103" s="14" t="s">
        <v>129</v>
      </c>
      <c r="D103" s="14" t="s">
        <v>71</v>
      </c>
    </row>
    <row r="104" spans="1:4" x14ac:dyDescent="0.25">
      <c r="A104" t="str">
        <f>[1]TDSheet!A105</f>
        <v>Комилджони Мирзомудин</v>
      </c>
      <c r="B104" t="str">
        <f>[1]TDSheet!B105</f>
        <v>Подсобный рабочий</v>
      </c>
      <c r="C104" s="14" t="s">
        <v>130</v>
      </c>
      <c r="D104" s="14" t="s">
        <v>71</v>
      </c>
    </row>
    <row r="105" spans="1:4" x14ac:dyDescent="0.25">
      <c r="A105" t="str">
        <f>[1]TDSheet!A106</f>
        <v>Махмудов Асадулло Хабибович</v>
      </c>
      <c r="B105" t="str">
        <f>[1]TDSheet!B106</f>
        <v>Подсобный рабочий</v>
      </c>
      <c r="C105" s="14" t="s">
        <v>131</v>
      </c>
      <c r="D105" s="14" t="s">
        <v>71</v>
      </c>
    </row>
    <row r="106" spans="1:4" x14ac:dyDescent="0.25">
      <c r="A106" t="str">
        <f>[1]TDSheet!A107</f>
        <v>Нуров Эмомали Рамазонович</v>
      </c>
      <c r="B106" t="str">
        <f>[1]TDSheet!B107</f>
        <v>Подсобный рабочий</v>
      </c>
      <c r="C106" s="14" t="s">
        <v>132</v>
      </c>
      <c r="D106" s="14" t="s">
        <v>71</v>
      </c>
    </row>
    <row r="107" spans="1:4" x14ac:dyDescent="0.25">
      <c r="A107" t="str">
        <f>[1]TDSheet!A108</f>
        <v>Халимзода Шукрулло Саъди</v>
      </c>
      <c r="B107" t="str">
        <f>[1]TDSheet!B108</f>
        <v>Подсобный рабочий</v>
      </c>
      <c r="C107" s="14" t="s">
        <v>133</v>
      </c>
      <c r="D107" s="14" t="s">
        <v>71</v>
      </c>
    </row>
    <row r="108" spans="1:4" x14ac:dyDescent="0.25">
      <c r="A108" t="str">
        <f>[1]TDSheet!A109</f>
        <v xml:space="preserve">Шохруки Хикматулло </v>
      </c>
      <c r="B108" t="str">
        <f>[1]TDSheet!B109</f>
        <v>Подсобный рабочий</v>
      </c>
      <c r="C108" s="14" t="s">
        <v>134</v>
      </c>
      <c r="D108" s="14" t="s">
        <v>71</v>
      </c>
    </row>
    <row r="109" spans="1:4" x14ac:dyDescent="0.25">
      <c r="A109" t="str">
        <f>[1]TDSheet!A110</f>
        <v>Хасанов Парвиз Сайджафарович</v>
      </c>
      <c r="B109" t="str">
        <f>[1]TDSheet!B110</f>
        <v>Подсобный рабочий</v>
      </c>
      <c r="C109" s="14" t="s">
        <v>135</v>
      </c>
      <c r="D109" s="14" t="s">
        <v>71</v>
      </c>
    </row>
    <row r="110" spans="1:4" x14ac:dyDescent="0.25">
      <c r="A110" t="str">
        <f>[1]TDSheet!A111</f>
        <v>Усмонзода Фирдавсии Мехрубон</v>
      </c>
      <c r="B110" t="str">
        <f>[1]TDSheet!B111</f>
        <v>Подсобный рабочий</v>
      </c>
      <c r="C110" s="14" t="s">
        <v>136</v>
      </c>
      <c r="D110" s="14" t="s">
        <v>71</v>
      </c>
    </row>
    <row r="111" spans="1:4" x14ac:dyDescent="0.25">
      <c r="A111" t="str">
        <f>[1]TDSheet!A112</f>
        <v>Крюков Виталий Андреевич</v>
      </c>
      <c r="B111" t="str">
        <f>[1]TDSheet!B112</f>
        <v>Кровельщик</v>
      </c>
      <c r="C111" s="14" t="s">
        <v>137</v>
      </c>
      <c r="D111" s="14" t="s">
        <v>73</v>
      </c>
    </row>
    <row r="112" spans="1:4" x14ac:dyDescent="0.25">
      <c r="A112" t="str">
        <f>[1]TDSheet!A113</f>
        <v>Горулев Сергей Александрович</v>
      </c>
      <c r="B112" t="str">
        <f>[1]TDSheet!B113</f>
        <v>Кровельщик</v>
      </c>
      <c r="C112" s="14" t="s">
        <v>138</v>
      </c>
      <c r="D112" s="14" t="s">
        <v>73</v>
      </c>
    </row>
    <row r="113" spans="1:4" x14ac:dyDescent="0.25">
      <c r="A113" t="str">
        <f>[1]TDSheet!A114</f>
        <v>Астайкин Юрий Николаевич</v>
      </c>
      <c r="B113" t="str">
        <f>[1]TDSheet!B114</f>
        <v>Подсобный рабочий</v>
      </c>
      <c r="C113" s="14" t="s">
        <v>139</v>
      </c>
      <c r="D113" s="14" t="s">
        <v>71</v>
      </c>
    </row>
    <row r="114" spans="1:4" x14ac:dyDescent="0.25">
      <c r="A114">
        <f>[1]TDSheet!A115</f>
        <v>0</v>
      </c>
      <c r="B114">
        <f>[1]TDSheet!B115</f>
        <v>0</v>
      </c>
      <c r="C114" s="14"/>
      <c r="D114" s="14"/>
    </row>
    <row r="115" spans="1:4" x14ac:dyDescent="0.25">
      <c r="A115">
        <f>[1]TDSheet!A116</f>
        <v>0</v>
      </c>
      <c r="B115">
        <f>[1]TDSheet!B116</f>
        <v>0</v>
      </c>
      <c r="C115" s="14"/>
      <c r="D115" s="14"/>
    </row>
    <row r="116" spans="1:4" x14ac:dyDescent="0.25">
      <c r="A116">
        <f>[1]TDSheet!A117</f>
        <v>0</v>
      </c>
      <c r="B116">
        <f>[1]TDSheet!B117</f>
        <v>0</v>
      </c>
      <c r="C116" s="14"/>
      <c r="D116" s="14"/>
    </row>
    <row r="117" spans="1:4" x14ac:dyDescent="0.25">
      <c r="A117">
        <f>[1]TDSheet!A118</f>
        <v>0</v>
      </c>
      <c r="B117">
        <f>[1]TDSheet!B118</f>
        <v>0</v>
      </c>
      <c r="C117" s="14"/>
      <c r="D117" s="14"/>
    </row>
    <row r="118" spans="1:4" x14ac:dyDescent="0.25">
      <c r="A118">
        <f>[1]TDSheet!A119</f>
        <v>0</v>
      </c>
      <c r="B118">
        <f>[1]TDSheet!B119</f>
        <v>0</v>
      </c>
      <c r="C118" s="14"/>
      <c r="D118" s="14"/>
    </row>
    <row r="119" spans="1:4" x14ac:dyDescent="0.25">
      <c r="A119">
        <f>[1]TDSheet!A120</f>
        <v>0</v>
      </c>
      <c r="B119">
        <f>[1]TDSheet!B120</f>
        <v>0</v>
      </c>
      <c r="C119" s="14"/>
      <c r="D119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Отпуск</vt:lpstr>
      <vt:lpstr>Лист2</vt:lpstr>
      <vt:lpstr>People</vt:lpstr>
      <vt:lpstr>Отпуск!Область_печати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Семуков Артем Владимирович</dc:creator>
  <cp:lastModifiedBy>Инна</cp:lastModifiedBy>
  <cp:lastPrinted>2022-05-04T12:50:05Z</cp:lastPrinted>
  <dcterms:created xsi:type="dcterms:W3CDTF">2015-02-10T07:26:07Z</dcterms:created>
  <dcterms:modified xsi:type="dcterms:W3CDTF">2022-06-06T08:22:38Z</dcterms:modified>
</cp:coreProperties>
</file>