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Инна\YandexDisk-NiferGirl\000Обмен\000 БАНК БЛАНКОВ\5 Заявка на топливо\"/>
    </mc:Choice>
  </mc:AlternateContent>
  <xr:revisionPtr revIDLastSave="0" documentId="13_ncr:1_{230E1E00-E349-41A5-BE5F-BA4E2B1435C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Заявка" sheetId="2" r:id="rId1"/>
    <sheet name="Данные" sheetId="1" state="hidden" r:id="rId2"/>
  </sheets>
  <definedNames>
    <definedName name="Print_Area" localSheetId="0">Заявка!$A$1:$H$65</definedName>
    <definedName name="_xlnm.Print_Area" localSheetId="0">Заявка!$A$1:$H$50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1" i="2" l="1"/>
  <c r="M24" i="2" s="1"/>
  <c r="M22" i="2"/>
  <c r="M25" i="2" s="1"/>
  <c r="M20" i="2"/>
  <c r="M23" i="2" s="1"/>
  <c r="M26" i="2" l="1"/>
  <c r="M4" i="2"/>
  <c r="M5" i="2" s="1"/>
  <c r="F42" i="2" l="1"/>
  <c r="C18" i="2"/>
  <c r="G15" i="2"/>
  <c r="E5" i="2" l="1"/>
  <c r="A47" i="2" l="1"/>
  <c r="C16" i="2" s="1"/>
  <c r="F20" i="2" s="1"/>
  <c r="A42" i="2"/>
</calcChain>
</file>

<file path=xl/sharedStrings.xml><?xml version="1.0" encoding="utf-8"?>
<sst xmlns="http://schemas.openxmlformats.org/spreadsheetml/2006/main" count="40" uniqueCount="36">
  <si>
    <t>Генеральному директору</t>
  </si>
  <si>
    <t>Москвитину Александру Семеновичу</t>
  </si>
  <si>
    <t>Ф.И.О. руководителя</t>
  </si>
  <si>
    <t>от кого (должность работника)</t>
  </si>
  <si>
    <t>Ф.И.О. работника</t>
  </si>
  <si>
    <t>Служебная записка</t>
  </si>
  <si>
    <t xml:space="preserve">Авансовый отчет обязуюсь предоставить не позднее </t>
  </si>
  <si>
    <t>Статья затрат:</t>
  </si>
  <si>
    <t>(подпись)</t>
  </si>
  <si>
    <t>(ФИО)</t>
  </si>
  <si>
    <t>Москвитин А.С.</t>
  </si>
  <si>
    <t>ФИО</t>
  </si>
  <si>
    <t>Расчетный счет</t>
  </si>
  <si>
    <t>Хлань Алексей Юрьевич</t>
  </si>
  <si>
    <t>Лапицкий Андрей Михайлович</t>
  </si>
  <si>
    <t>7826010105086801</t>
  </si>
  <si>
    <t>Дровосеков Степан Алексеевич</t>
  </si>
  <si>
    <t>7826010115499127</t>
  </si>
  <si>
    <t>Ляшенко Дмитрий Григорьевич</t>
  </si>
  <si>
    <t>7826010115499150</t>
  </si>
  <si>
    <t>Должность</t>
  </si>
  <si>
    <t>Помощник кладовщика</t>
  </si>
  <si>
    <t>Производитель работ (прораб) (в строительстве)</t>
  </si>
  <si>
    <t>Главный инженер</t>
  </si>
  <si>
    <t>Мастер</t>
  </si>
  <si>
    <t>Пополнение топливной карты</t>
  </si>
  <si>
    <t>Дровосеков С.А.</t>
  </si>
  <si>
    <t>Лапицкий А.М.</t>
  </si>
  <si>
    <t>Ляшенко Д.Г.</t>
  </si>
  <si>
    <t>Хлань А.Ю.</t>
  </si>
  <si>
    <t>Номер карты:</t>
  </si>
  <si>
    <t>Деньги</t>
  </si>
  <si>
    <t>Прошу Вас согласовать пополнение топливной карты в размере:</t>
  </si>
  <si>
    <t>рублей</t>
  </si>
  <si>
    <t>на срок до:</t>
  </si>
  <si>
    <t>7826010105086793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</si>
</sst>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  <charset val="204"/>
    </font>
    <font>
      <u/>
      <sz val="12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6" fillId="0" borderId="0" xfId="0" applyFont="1"/>
    <xf numFmtId="0" fontId="7" fillId="0" borderId="0" xfId="0" applyFont="1"/>
    <xf numFmtId="49" fontId="0" fillId="0" borderId="0" xfId="0" applyNumberFormat="1"/>
    <xf numFmtId="0" fontId="0" fillId="2" borderId="0" xfId="0" applyFill="1"/>
    <xf numFmtId="49" fontId="0" fillId="2" borderId="0" xfId="0" applyNumberFormat="1" applyFill="1"/>
    <xf numFmtId="0" fontId="1" fillId="0" borderId="0" xfId="0" applyFont="1" applyProtection="1">
      <protection hidden="1"/>
    </xf>
    <xf numFmtId="0" fontId="0" fillId="0" borderId="0" xfId="0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14" fontId="8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protection hidden="1"/>
    </xf>
    <xf numFmtId="0" fontId="5" fillId="0" borderId="0" xfId="0" applyNumberFormat="1" applyFont="1" applyBorder="1" applyAlignment="1" applyProtection="1">
      <alignment horizontal="center"/>
      <protection hidden="1"/>
    </xf>
    <xf numFmtId="14" fontId="1" fillId="0" borderId="0" xfId="0" applyNumberFormat="1" applyFont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8" fillId="0" borderId="0" xfId="0" applyFont="1" applyProtection="1">
      <protection hidden="1"/>
    </xf>
    <xf numFmtId="0" fontId="8" fillId="0" borderId="0" xfId="0" applyFont="1"/>
    <xf numFmtId="0" fontId="3" fillId="0" borderId="2" xfId="0" applyFont="1" applyBorder="1" applyAlignment="1" applyProtection="1">
      <alignment horizontal="right"/>
      <protection hidden="1"/>
    </xf>
    <xf numFmtId="0" fontId="2" fillId="0" borderId="0" xfId="0" applyFont="1" applyAlignment="1" applyProtection="1">
      <alignment horizontal="right"/>
      <protection hidden="1"/>
    </xf>
    <xf numFmtId="0" fontId="1" fillId="0" borderId="0" xfId="0" applyFont="1" applyAlignment="1" applyProtection="1">
      <alignment horizontal="right"/>
      <protection hidden="1"/>
    </xf>
    <xf numFmtId="0" fontId="3" fillId="0" borderId="2" xfId="0" applyFont="1" applyBorder="1" applyAlignment="1" applyProtection="1">
      <alignment horizontal="right" wrapText="1"/>
      <protection hidden="1"/>
    </xf>
    <xf numFmtId="0" fontId="4" fillId="0" borderId="0" xfId="0" applyFont="1" applyAlignment="1" applyProtection="1">
      <alignment horizontal="center"/>
      <protection hidden="1"/>
    </xf>
    <xf numFmtId="14" fontId="5" fillId="0" borderId="1" xfId="0" applyNumberFormat="1" applyFont="1" applyBorder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left"/>
      <protection hidden="1"/>
    </xf>
    <xf numFmtId="0" fontId="5" fillId="0" borderId="1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164" fontId="5" fillId="0" borderId="0" xfId="0" applyNumberFormat="1" applyFont="1" applyAlignment="1" applyProtection="1">
      <alignment horizontal="center"/>
      <protection hidden="1"/>
    </xf>
    <xf numFmtId="0" fontId="1" fillId="0" borderId="1" xfId="0" applyFont="1" applyBorder="1" applyProtection="1">
      <protection hidden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4</xdr:col>
      <xdr:colOff>0</xdr:colOff>
      <xdr:row>6</xdr:row>
      <xdr:rowOff>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25290049-5F53-4572-9DF6-38E0506A3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2943224" cy="116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66675</xdr:rowOff>
    </xdr:from>
    <xdr:to>
      <xdr:col>11</xdr:col>
      <xdr:colOff>400050</xdr:colOff>
      <xdr:row>6</xdr:row>
      <xdr:rowOff>57150</xdr:rowOff>
    </xdr:to>
    <xdr:sp macro="[0]!Лист1.CommandButton1_Click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8F031B73-9E19-49E9-B80E-5FF28AE0482C}"/>
            </a:ext>
          </a:extLst>
        </xdr:cNvPr>
        <xdr:cNvSpPr/>
      </xdr:nvSpPr>
      <xdr:spPr>
        <a:xfrm>
          <a:off x="6438900" y="657225"/>
          <a:ext cx="1447800" cy="5715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atin typeface="Times New Roman" panose="02020603050405020304" pitchFamily="18" charset="0"/>
              <a:cs typeface="Times New Roman" panose="02020603050405020304" pitchFamily="18" charset="0"/>
            </a:rPr>
            <a:t>Сохранить</a:t>
          </a:r>
          <a:r>
            <a:rPr lang="ru-RU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в 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PDF </a:t>
          </a:r>
          <a:r>
            <a:rPr lang="ru-RU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и открыть</a:t>
          </a:r>
          <a:endParaRPr lang="ru-RU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E285B-AA5F-44D3-9F7E-D68203754083}">
  <sheetPr codeName="Лист1"/>
  <dimension ref="A1:P61"/>
  <sheetViews>
    <sheetView showGridLines="0" tabSelected="1" zoomScaleNormal="100" zoomScaleSheetLayoutView="130" workbookViewId="0">
      <selection activeCell="E9" sqref="E9:H9"/>
    </sheetView>
  </sheetViews>
  <sheetFormatPr defaultColWidth="8.85546875" defaultRowHeight="15" x14ac:dyDescent="0.25"/>
  <cols>
    <col min="1" max="1" width="10" style="1" customWidth="1"/>
    <col min="2" max="2" width="11.28515625" style="1" customWidth="1"/>
    <col min="3" max="3" width="10.42578125" style="1" customWidth="1"/>
    <col min="4" max="4" width="9.28515625" style="1" customWidth="1"/>
    <col min="5" max="5" width="12.140625" style="1" customWidth="1"/>
    <col min="6" max="6" width="11.42578125" style="1" customWidth="1"/>
    <col min="7" max="7" width="10.7109375" style="1" customWidth="1"/>
    <col min="8" max="8" width="10.42578125" style="1" customWidth="1"/>
    <col min="13" max="13" width="10.140625" bestFit="1" customWidth="1"/>
  </cols>
  <sheetData>
    <row r="1" spans="1:16" ht="15.75" x14ac:dyDescent="0.25">
      <c r="A1" s="7"/>
      <c r="B1" s="7"/>
      <c r="C1" s="7"/>
      <c r="D1" s="7"/>
      <c r="E1" s="21" t="s">
        <v>0</v>
      </c>
      <c r="F1" s="21"/>
      <c r="G1" s="21"/>
      <c r="H1" s="21"/>
      <c r="I1" s="8"/>
      <c r="J1" s="8"/>
      <c r="K1" s="8"/>
      <c r="L1" s="8"/>
      <c r="M1" s="8"/>
      <c r="N1" s="8"/>
    </row>
    <row r="2" spans="1:16" ht="15.75" x14ac:dyDescent="0.25">
      <c r="A2" s="7"/>
      <c r="B2" s="7"/>
      <c r="C2" s="7"/>
      <c r="D2" s="7"/>
      <c r="E2" s="21" t="s">
        <v>1</v>
      </c>
      <c r="F2" s="21"/>
      <c r="G2" s="21"/>
      <c r="H2" s="21"/>
      <c r="I2" s="8"/>
      <c r="J2" s="8"/>
      <c r="K2" s="8"/>
      <c r="L2" s="8"/>
      <c r="M2" s="8"/>
      <c r="N2" s="8"/>
    </row>
    <row r="3" spans="1:16" x14ac:dyDescent="0.25">
      <c r="A3" s="7"/>
      <c r="B3" s="7"/>
      <c r="C3" s="7"/>
      <c r="D3" s="7"/>
      <c r="E3" s="22" t="s">
        <v>2</v>
      </c>
      <c r="F3" s="22"/>
      <c r="G3" s="22"/>
      <c r="H3" s="22"/>
      <c r="I3" s="8"/>
      <c r="J3" s="8"/>
      <c r="K3" s="8"/>
      <c r="L3" s="8"/>
      <c r="M3" s="18"/>
      <c r="N3" s="18"/>
      <c r="O3" s="19"/>
      <c r="P3" s="19"/>
    </row>
    <row r="4" spans="1:16" x14ac:dyDescent="0.25">
      <c r="A4" s="7"/>
      <c r="B4" s="7"/>
      <c r="C4" s="7"/>
      <c r="D4" s="7"/>
      <c r="E4" s="9"/>
      <c r="F4" s="9"/>
      <c r="G4" s="9"/>
      <c r="H4" s="9"/>
      <c r="I4" s="8"/>
      <c r="J4" s="8"/>
      <c r="K4" s="8"/>
      <c r="L4" s="8"/>
      <c r="M4" s="10">
        <f ca="1">TODAY()</f>
        <v>44645</v>
      </c>
      <c r="N4" s="18"/>
      <c r="O4" s="19"/>
      <c r="P4" s="19"/>
    </row>
    <row r="5" spans="1:16" ht="15" customHeight="1" x14ac:dyDescent="0.25">
      <c r="A5" s="7"/>
      <c r="B5" s="7"/>
      <c r="C5" s="7"/>
      <c r="D5" s="7"/>
      <c r="E5" s="23" t="str">
        <f>VLOOKUP(E9,Данные!A2:C5,3,0)</f>
        <v>Производитель работ (прораб) (в строительстве)</v>
      </c>
      <c r="F5" s="23"/>
      <c r="G5" s="23"/>
      <c r="H5" s="23"/>
      <c r="I5" s="8"/>
      <c r="J5" s="8"/>
      <c r="K5" s="8"/>
      <c r="L5" s="8"/>
      <c r="M5" s="10" t="str">
        <f ca="1">CONCATENATE("Заявка на топливо ",TEXT(M4,"ДД-ММ-ГГГГ"),"(",M26,")")</f>
        <v>Заявка на топливо 25-03-2022(ХАЮ)</v>
      </c>
      <c r="N5" s="18"/>
      <c r="O5" s="19"/>
      <c r="P5" s="19"/>
    </row>
    <row r="6" spans="1:16" ht="15.75" customHeight="1" x14ac:dyDescent="0.25">
      <c r="A6" s="7"/>
      <c r="B6" s="7"/>
      <c r="C6" s="7"/>
      <c r="D6" s="7"/>
      <c r="E6" s="23"/>
      <c r="F6" s="23"/>
      <c r="G6" s="23"/>
      <c r="H6" s="23"/>
      <c r="I6" s="8"/>
      <c r="J6" s="8"/>
      <c r="K6" s="8"/>
      <c r="L6" s="8"/>
      <c r="M6" s="18"/>
      <c r="N6" s="18"/>
      <c r="O6" s="19"/>
      <c r="P6" s="19"/>
    </row>
    <row r="7" spans="1:16" x14ac:dyDescent="0.25">
      <c r="A7" s="7"/>
      <c r="B7" s="7"/>
      <c r="C7" s="7"/>
      <c r="D7" s="7"/>
      <c r="E7" s="22" t="s">
        <v>3</v>
      </c>
      <c r="F7" s="22"/>
      <c r="G7" s="22"/>
      <c r="H7" s="22"/>
      <c r="I7" s="8"/>
      <c r="J7" s="8"/>
      <c r="K7" s="8"/>
      <c r="L7" s="8"/>
      <c r="M7" s="18"/>
      <c r="N7" s="18"/>
      <c r="O7" s="19"/>
      <c r="P7" s="19"/>
    </row>
    <row r="8" spans="1:16" x14ac:dyDescent="0.25">
      <c r="A8" s="7"/>
      <c r="B8" s="7"/>
      <c r="C8" s="7"/>
      <c r="D8" s="7"/>
      <c r="E8" s="11"/>
      <c r="F8" s="7"/>
      <c r="G8" s="7"/>
      <c r="H8" s="7"/>
      <c r="I8" s="8"/>
      <c r="J8" s="8"/>
      <c r="K8" s="8"/>
      <c r="L8" s="8"/>
      <c r="M8" s="18"/>
      <c r="N8" s="18"/>
      <c r="O8" s="19"/>
      <c r="P8" s="19"/>
    </row>
    <row r="9" spans="1:16" ht="15.75" x14ac:dyDescent="0.25">
      <c r="A9" s="7"/>
      <c r="B9" s="7"/>
      <c r="C9" s="7"/>
      <c r="D9" s="7"/>
      <c r="E9" s="20" t="s">
        <v>13</v>
      </c>
      <c r="F9" s="20"/>
      <c r="G9" s="20"/>
      <c r="H9" s="20"/>
      <c r="I9" s="8"/>
      <c r="J9" s="8"/>
      <c r="K9" s="8"/>
      <c r="L9" s="8"/>
      <c r="M9" s="18"/>
      <c r="N9" s="18"/>
      <c r="O9" s="19"/>
      <c r="P9" s="19"/>
    </row>
    <row r="10" spans="1:16" x14ac:dyDescent="0.25">
      <c r="A10" s="7"/>
      <c r="B10" s="7"/>
      <c r="C10" s="7"/>
      <c r="D10" s="7"/>
      <c r="E10" s="22" t="s">
        <v>4</v>
      </c>
      <c r="F10" s="22"/>
      <c r="G10" s="22"/>
      <c r="H10" s="22"/>
      <c r="I10" s="8"/>
      <c r="J10" s="8"/>
      <c r="K10" s="8"/>
      <c r="L10" s="8"/>
      <c r="M10" s="18"/>
      <c r="N10" s="18"/>
      <c r="O10" s="19"/>
      <c r="P10" s="19"/>
    </row>
    <row r="11" spans="1:16" x14ac:dyDescent="0.25">
      <c r="A11" s="7"/>
      <c r="B11" s="7"/>
      <c r="C11" s="7"/>
      <c r="D11" s="7"/>
      <c r="E11" s="7"/>
      <c r="F11" s="7"/>
      <c r="G11" s="7"/>
      <c r="H11" s="7"/>
      <c r="I11" s="8"/>
      <c r="J11" s="8"/>
      <c r="K11" s="8"/>
      <c r="L11" s="8"/>
      <c r="M11" s="18"/>
      <c r="N11" s="18"/>
      <c r="O11" s="19"/>
      <c r="P11" s="19"/>
    </row>
    <row r="12" spans="1:16" x14ac:dyDescent="0.25">
      <c r="A12" s="7"/>
      <c r="B12" s="7"/>
      <c r="C12" s="7"/>
      <c r="D12" s="7"/>
      <c r="E12" s="7"/>
      <c r="F12" s="7"/>
      <c r="G12" s="7"/>
      <c r="H12" s="7"/>
      <c r="I12" s="8"/>
      <c r="J12" s="8"/>
      <c r="K12" s="8"/>
      <c r="L12" s="8"/>
      <c r="M12" s="18"/>
      <c r="N12" s="18"/>
      <c r="O12" s="19"/>
      <c r="P12" s="19"/>
    </row>
    <row r="13" spans="1:16" ht="16.5" customHeight="1" x14ac:dyDescent="0.25">
      <c r="A13" s="24" t="s">
        <v>5</v>
      </c>
      <c r="B13" s="24"/>
      <c r="C13" s="24"/>
      <c r="D13" s="24"/>
      <c r="E13" s="24"/>
      <c r="F13" s="24"/>
      <c r="G13" s="24"/>
      <c r="H13" s="24"/>
      <c r="I13" s="8"/>
      <c r="J13" s="8"/>
      <c r="K13" s="8"/>
      <c r="L13" s="8"/>
      <c r="M13" s="18"/>
      <c r="N13" s="18"/>
      <c r="O13" s="19"/>
      <c r="P13" s="19"/>
    </row>
    <row r="14" spans="1:16" ht="16.5" customHeight="1" x14ac:dyDescent="0.25">
      <c r="A14" s="12"/>
      <c r="B14" s="12"/>
      <c r="C14" s="12"/>
      <c r="D14" s="12"/>
      <c r="E14" s="12"/>
      <c r="F14" s="12"/>
      <c r="G14" s="12"/>
      <c r="H14" s="12"/>
      <c r="I14" s="8"/>
      <c r="J14" s="8"/>
      <c r="K14" s="8"/>
      <c r="L14" s="8"/>
      <c r="M14" s="18"/>
      <c r="N14" s="18"/>
      <c r="O14" s="19"/>
      <c r="P14" s="19"/>
    </row>
    <row r="15" spans="1:16" x14ac:dyDescent="0.25">
      <c r="A15" s="29" t="s">
        <v>32</v>
      </c>
      <c r="B15" s="29"/>
      <c r="C15" s="29"/>
      <c r="D15" s="29"/>
      <c r="E15" s="29"/>
      <c r="F15" s="29"/>
      <c r="G15" s="13">
        <f>VLOOKUP(E9,Данные!$A$2:$E$5,5,0)</f>
        <v>7000</v>
      </c>
      <c r="H15" s="14" t="s">
        <v>33</v>
      </c>
      <c r="I15" s="8"/>
      <c r="J15" s="8"/>
      <c r="K15" s="8"/>
      <c r="L15" s="8"/>
      <c r="M15" s="18"/>
      <c r="N15" s="18"/>
      <c r="O15" s="19"/>
      <c r="P15" s="19"/>
    </row>
    <row r="16" spans="1:16" x14ac:dyDescent="0.25">
      <c r="A16" s="26" t="s">
        <v>34</v>
      </c>
      <c r="B16" s="26"/>
      <c r="C16" s="25">
        <f ca="1">EDATE(A47,1)</f>
        <v>44676</v>
      </c>
      <c r="D16" s="25"/>
      <c r="E16" s="15"/>
      <c r="F16" s="16"/>
      <c r="G16" s="7"/>
      <c r="H16" s="7"/>
      <c r="I16" s="8"/>
      <c r="J16" s="8"/>
      <c r="K16" s="8"/>
      <c r="L16" s="8"/>
      <c r="M16" s="18"/>
      <c r="N16" s="18"/>
      <c r="O16" s="19"/>
      <c r="P16" s="19"/>
    </row>
    <row r="17" spans="1:16" x14ac:dyDescent="0.25">
      <c r="A17" s="17"/>
      <c r="B17" s="17"/>
      <c r="C17" s="17"/>
      <c r="D17" s="17"/>
      <c r="E17" s="17"/>
      <c r="F17" s="17"/>
      <c r="G17" s="7"/>
      <c r="H17" s="7"/>
      <c r="I17" s="8"/>
      <c r="J17" s="8"/>
      <c r="K17" s="8"/>
      <c r="L17" s="8"/>
      <c r="M17" s="18"/>
      <c r="N17" s="18"/>
      <c r="O17" s="19"/>
      <c r="P17" s="19"/>
    </row>
    <row r="18" spans="1:16" x14ac:dyDescent="0.25">
      <c r="A18" s="27" t="s">
        <v>30</v>
      </c>
      <c r="B18" s="27"/>
      <c r="C18" s="28" t="str">
        <f>VLOOKUP(E9,Данные!$A$2:$E$5,4,0)</f>
        <v>7826010105086793</v>
      </c>
      <c r="D18" s="28"/>
      <c r="E18" s="28"/>
      <c r="F18" s="28"/>
      <c r="G18" s="28"/>
      <c r="H18" s="28"/>
      <c r="I18" s="8"/>
      <c r="J18" s="8"/>
      <c r="K18" s="8"/>
      <c r="L18" s="8"/>
      <c r="M18" s="18"/>
      <c r="N18" s="18"/>
      <c r="O18" s="19"/>
      <c r="P18" s="19"/>
    </row>
    <row r="19" spans="1:16" x14ac:dyDescent="0.25">
      <c r="A19" s="17"/>
      <c r="B19" s="17"/>
      <c r="C19" s="17"/>
      <c r="D19" s="17"/>
      <c r="E19" s="17"/>
      <c r="F19" s="17"/>
      <c r="G19" s="7"/>
      <c r="H19" s="7"/>
      <c r="I19" s="8"/>
      <c r="J19" s="8"/>
      <c r="K19" s="8"/>
      <c r="L19" s="8"/>
      <c r="M19" s="18"/>
      <c r="N19" s="18"/>
      <c r="O19" s="19"/>
      <c r="P19" s="19"/>
    </row>
    <row r="20" spans="1:16" x14ac:dyDescent="0.25">
      <c r="A20" s="26" t="s">
        <v>6</v>
      </c>
      <c r="B20" s="26"/>
      <c r="C20" s="26"/>
      <c r="D20" s="26"/>
      <c r="E20" s="26"/>
      <c r="F20" s="25">
        <f ca="1">C16+3</f>
        <v>44679</v>
      </c>
      <c r="G20" s="32"/>
      <c r="H20" s="32"/>
      <c r="I20" s="8"/>
      <c r="J20" s="8"/>
      <c r="K20" s="8"/>
      <c r="L20" s="8"/>
      <c r="M20" s="18" t="str">
        <f>CONCATENATE(LEFT(E9,FIND(" ",E9,1)-1))</f>
        <v>Хлань</v>
      </c>
      <c r="N20" s="18"/>
      <c r="O20" s="19"/>
      <c r="P20" s="19"/>
    </row>
    <row r="21" spans="1:16" x14ac:dyDescent="0.25">
      <c r="A21" s="17"/>
      <c r="B21" s="17"/>
      <c r="C21" s="17"/>
      <c r="D21" s="17"/>
      <c r="E21" s="17"/>
      <c r="F21" s="17"/>
      <c r="G21" s="7"/>
      <c r="H21" s="7"/>
      <c r="I21" s="8"/>
      <c r="J21" s="8"/>
      <c r="K21" s="8"/>
      <c r="L21" s="8"/>
      <c r="M21" s="18" t="str">
        <f>MID(E9,FIND(" ",E9,1)+1,FIND(" ",E9,FIND(" ",E9,1)+1)-FIND(" ",E9,1)-1)</f>
        <v>Алексей</v>
      </c>
      <c r="N21" s="18"/>
      <c r="O21" s="19"/>
      <c r="P21" s="19"/>
    </row>
    <row r="22" spans="1:16" x14ac:dyDescent="0.25">
      <c r="A22" s="26" t="s">
        <v>7</v>
      </c>
      <c r="B22" s="26"/>
      <c r="C22" s="26" t="s">
        <v>25</v>
      </c>
      <c r="D22" s="26"/>
      <c r="E22" s="26"/>
      <c r="F22" s="26"/>
      <c r="G22" s="26"/>
      <c r="H22" s="26"/>
      <c r="I22" s="8"/>
      <c r="J22" s="8"/>
      <c r="K22" s="8"/>
      <c r="L22" s="8"/>
      <c r="M22" s="18" t="str">
        <f>RIGHT(E9,LEN(E9)-FIND(" ",E9,FIND(" ",E9,1)+1))</f>
        <v>Юрьевич</v>
      </c>
      <c r="N22" s="18"/>
      <c r="O22" s="19"/>
      <c r="P22" s="19"/>
    </row>
    <row r="23" spans="1:16" x14ac:dyDescent="0.25">
      <c r="A23" s="17"/>
      <c r="B23" s="17"/>
      <c r="C23" s="17"/>
      <c r="D23" s="17"/>
      <c r="E23" s="17"/>
      <c r="F23" s="17"/>
      <c r="G23" s="7"/>
      <c r="H23" s="7"/>
      <c r="I23" s="8"/>
      <c r="J23" s="8"/>
      <c r="K23" s="8"/>
      <c r="L23" s="8"/>
      <c r="M23" s="18" t="str">
        <f>LEFT(M20,1)</f>
        <v>Х</v>
      </c>
      <c r="N23" s="18"/>
      <c r="O23" s="19"/>
      <c r="P23" s="19"/>
    </row>
    <row r="24" spans="1:16" x14ac:dyDescent="0.25">
      <c r="A24" s="17"/>
      <c r="B24" s="17"/>
      <c r="C24" s="17"/>
      <c r="D24" s="17"/>
      <c r="E24" s="17"/>
      <c r="F24" s="17"/>
      <c r="G24" s="7"/>
      <c r="H24" s="7"/>
      <c r="I24" s="8"/>
      <c r="J24" s="8"/>
      <c r="K24" s="8"/>
      <c r="L24" s="8"/>
      <c r="M24" s="18" t="str">
        <f>LEFT(M21,1)</f>
        <v>А</v>
      </c>
      <c r="N24" s="18"/>
      <c r="O24" s="19"/>
      <c r="P24" s="19"/>
    </row>
    <row r="25" spans="1:16" x14ac:dyDescent="0.25">
      <c r="A25" s="17"/>
      <c r="B25" s="17"/>
      <c r="C25" s="17"/>
      <c r="D25" s="17"/>
      <c r="E25" s="17"/>
      <c r="F25" s="17"/>
      <c r="G25" s="7"/>
      <c r="H25" s="7"/>
      <c r="I25" s="8"/>
      <c r="J25" s="8"/>
      <c r="K25" s="8"/>
      <c r="L25" s="8"/>
      <c r="M25" s="18" t="str">
        <f>LEFT(M22,1)</f>
        <v>Ю</v>
      </c>
      <c r="N25" s="18"/>
      <c r="O25" s="19"/>
      <c r="P25" s="19"/>
    </row>
    <row r="26" spans="1:16" x14ac:dyDescent="0.25">
      <c r="A26" s="17"/>
      <c r="B26" s="17"/>
      <c r="C26" s="17"/>
      <c r="D26" s="17"/>
      <c r="E26" s="17"/>
      <c r="F26" s="17"/>
      <c r="G26" s="7"/>
      <c r="H26" s="7"/>
      <c r="I26" s="8"/>
      <c r="J26" s="8"/>
      <c r="K26" s="8"/>
      <c r="L26" s="8"/>
      <c r="M26" s="18" t="str">
        <f>CONCATENATE(M23,M24,M25,)</f>
        <v>ХАЮ</v>
      </c>
      <c r="N26" s="18"/>
      <c r="O26" s="19"/>
      <c r="P26" s="19"/>
    </row>
    <row r="27" spans="1:16" x14ac:dyDescent="0.25">
      <c r="A27" s="17"/>
      <c r="B27" s="17"/>
      <c r="C27" s="17"/>
      <c r="D27" s="17"/>
      <c r="E27" s="17"/>
      <c r="F27" s="17"/>
      <c r="G27" s="7"/>
      <c r="H27" s="7"/>
      <c r="I27" s="8"/>
      <c r="J27" s="8"/>
      <c r="K27" s="8"/>
      <c r="L27" s="8"/>
      <c r="M27" s="18"/>
      <c r="N27" s="18"/>
      <c r="O27" s="19"/>
      <c r="P27" s="19"/>
    </row>
    <row r="28" spans="1:16" x14ac:dyDescent="0.25">
      <c r="A28" s="17"/>
      <c r="B28" s="17"/>
      <c r="C28" s="17"/>
      <c r="D28" s="17"/>
      <c r="E28" s="17"/>
      <c r="F28" s="17"/>
      <c r="G28" s="7"/>
      <c r="H28" s="7"/>
      <c r="I28" s="8"/>
      <c r="J28" s="8"/>
      <c r="K28" s="8"/>
      <c r="L28" s="8"/>
      <c r="M28" s="8"/>
      <c r="N28" s="8"/>
    </row>
    <row r="29" spans="1:16" x14ac:dyDescent="0.25">
      <c r="A29" s="17"/>
      <c r="B29" s="17"/>
      <c r="C29" s="17"/>
      <c r="D29" s="17"/>
      <c r="E29" s="17"/>
      <c r="F29" s="17"/>
      <c r="G29" s="7"/>
      <c r="H29" s="7"/>
      <c r="I29" s="8"/>
      <c r="J29" s="8"/>
      <c r="K29" s="8"/>
      <c r="L29" s="8"/>
      <c r="M29" s="8"/>
      <c r="N29" s="8"/>
    </row>
    <row r="30" spans="1:16" x14ac:dyDescent="0.25">
      <c r="A30" s="17"/>
      <c r="B30" s="17"/>
      <c r="C30" s="17"/>
      <c r="D30" s="17"/>
      <c r="E30" s="17"/>
      <c r="F30" s="17"/>
      <c r="G30" s="7"/>
      <c r="H30" s="7"/>
      <c r="I30" s="8"/>
      <c r="J30" s="8"/>
      <c r="K30" s="8"/>
      <c r="L30" s="8"/>
      <c r="M30" s="8"/>
      <c r="N30" s="8"/>
    </row>
    <row r="31" spans="1:16" x14ac:dyDescent="0.25">
      <c r="A31" s="17"/>
      <c r="B31" s="17"/>
      <c r="C31" s="17"/>
      <c r="D31" s="17"/>
      <c r="E31" s="17"/>
      <c r="F31" s="17"/>
      <c r="G31" s="7"/>
      <c r="H31" s="7"/>
      <c r="I31" s="8"/>
      <c r="J31" s="8"/>
      <c r="K31" s="8"/>
      <c r="L31" s="8"/>
      <c r="M31" s="8"/>
      <c r="N31" s="8"/>
    </row>
    <row r="32" spans="1:16" x14ac:dyDescent="0.25">
      <c r="A32" s="17"/>
      <c r="B32" s="17"/>
      <c r="C32" s="17"/>
      <c r="D32" s="17"/>
      <c r="E32" s="17"/>
      <c r="F32" s="17"/>
      <c r="G32" s="7"/>
      <c r="H32" s="7"/>
      <c r="I32" s="8"/>
      <c r="J32" s="8"/>
      <c r="K32" s="8"/>
      <c r="L32" s="8"/>
      <c r="M32" s="8"/>
      <c r="N32" s="8"/>
    </row>
    <row r="33" spans="1:14" x14ac:dyDescent="0.25">
      <c r="A33" s="17"/>
      <c r="B33" s="17"/>
      <c r="C33" s="17"/>
      <c r="D33" s="17"/>
      <c r="E33" s="17"/>
      <c r="F33" s="17"/>
      <c r="G33" s="7"/>
      <c r="H33" s="7"/>
      <c r="I33" s="8"/>
      <c r="J33" s="8"/>
      <c r="K33" s="8"/>
      <c r="L33" s="8"/>
      <c r="M33" s="8"/>
      <c r="N33" s="8"/>
    </row>
    <row r="34" spans="1:14" x14ac:dyDescent="0.25">
      <c r="A34" s="17"/>
      <c r="B34" s="17"/>
      <c r="C34" s="17"/>
      <c r="D34" s="17"/>
      <c r="E34" s="17"/>
      <c r="F34" s="17"/>
      <c r="G34" s="7"/>
      <c r="H34" s="7"/>
      <c r="I34" s="8"/>
      <c r="J34" s="8"/>
      <c r="K34" s="8"/>
      <c r="L34" s="8"/>
      <c r="M34" s="8"/>
      <c r="N34" s="8"/>
    </row>
    <row r="35" spans="1:14" x14ac:dyDescent="0.25">
      <c r="A35" s="17"/>
      <c r="B35" s="17"/>
      <c r="C35" s="17"/>
      <c r="D35" s="17"/>
      <c r="E35" s="17"/>
      <c r="F35" s="17"/>
      <c r="G35" s="7"/>
      <c r="H35" s="7"/>
      <c r="I35" s="8"/>
      <c r="J35" s="8"/>
      <c r="K35" s="8"/>
      <c r="L35" s="8"/>
      <c r="M35" s="8"/>
      <c r="N35" s="8"/>
    </row>
    <row r="36" spans="1:14" x14ac:dyDescent="0.25">
      <c r="A36" s="17"/>
      <c r="B36" s="17"/>
      <c r="C36" s="17"/>
      <c r="D36" s="17"/>
      <c r="E36" s="17"/>
      <c r="F36" s="17"/>
      <c r="G36" s="7"/>
      <c r="H36" s="7"/>
      <c r="I36" s="8"/>
      <c r="J36" s="8"/>
      <c r="K36" s="8"/>
      <c r="L36" s="8"/>
      <c r="M36" s="8"/>
      <c r="N36" s="8"/>
    </row>
    <row r="37" spans="1:14" x14ac:dyDescent="0.25">
      <c r="A37" s="17"/>
      <c r="B37" s="17"/>
      <c r="C37" s="17"/>
      <c r="D37" s="17"/>
      <c r="E37" s="17"/>
      <c r="F37" s="17"/>
      <c r="G37" s="7"/>
      <c r="H37" s="7"/>
      <c r="I37" s="8"/>
      <c r="J37" s="8"/>
      <c r="K37" s="8"/>
      <c r="L37" s="8"/>
      <c r="M37" s="8"/>
      <c r="N37" s="8"/>
    </row>
    <row r="38" spans="1:14" x14ac:dyDescent="0.25">
      <c r="A38" s="17"/>
      <c r="B38" s="17"/>
      <c r="C38" s="17"/>
      <c r="D38" s="17"/>
      <c r="E38" s="17"/>
      <c r="F38" s="17"/>
      <c r="G38" s="7"/>
      <c r="H38" s="7"/>
      <c r="I38" s="8"/>
      <c r="J38" s="8"/>
      <c r="K38" s="8"/>
      <c r="L38" s="8"/>
      <c r="M38" s="8"/>
      <c r="N38" s="8"/>
    </row>
    <row r="39" spans="1:14" x14ac:dyDescent="0.25">
      <c r="A39" s="17"/>
      <c r="B39" s="17"/>
      <c r="C39" s="17"/>
      <c r="D39" s="17"/>
      <c r="E39" s="17"/>
      <c r="F39" s="17"/>
      <c r="G39" s="7"/>
      <c r="H39" s="7"/>
      <c r="I39" s="8"/>
      <c r="J39" s="8"/>
      <c r="K39" s="8"/>
      <c r="L39" s="8"/>
      <c r="M39" s="8"/>
      <c r="N39" s="8"/>
    </row>
    <row r="40" spans="1:14" x14ac:dyDescent="0.25">
      <c r="A40" s="17"/>
      <c r="B40" s="17"/>
      <c r="C40" s="17"/>
      <c r="D40" s="17"/>
      <c r="E40" s="17"/>
      <c r="F40" s="17"/>
      <c r="G40" s="7"/>
      <c r="H40" s="7"/>
      <c r="I40" s="8"/>
      <c r="J40" s="8"/>
      <c r="K40" s="8"/>
      <c r="L40" s="8"/>
      <c r="M40" s="8"/>
      <c r="N40" s="8"/>
    </row>
    <row r="41" spans="1:14" x14ac:dyDescent="0.25">
      <c r="A41" s="17"/>
      <c r="B41" s="17"/>
      <c r="C41" s="17"/>
      <c r="D41" s="17"/>
      <c r="E41" s="17"/>
      <c r="F41" s="17"/>
      <c r="G41" s="7"/>
      <c r="H41" s="7"/>
      <c r="I41" s="8"/>
      <c r="J41" s="8"/>
      <c r="K41" s="8"/>
      <c r="L41" s="8"/>
      <c r="M41" s="8"/>
      <c r="N41" s="8"/>
    </row>
    <row r="42" spans="1:14" x14ac:dyDescent="0.25">
      <c r="A42" s="33">
        <f ca="1">TODAY()</f>
        <v>44645</v>
      </c>
      <c r="B42" s="33"/>
      <c r="C42" s="32"/>
      <c r="D42" s="32"/>
      <c r="E42" s="17"/>
      <c r="F42" s="32" t="str">
        <f>VLOOKUP(E9,Данные!A2:$E$5,2,0)</f>
        <v>Хлань А.Ю.</v>
      </c>
      <c r="G42" s="32"/>
      <c r="H42" s="32"/>
      <c r="I42" s="8"/>
      <c r="J42" s="8"/>
      <c r="K42" s="8"/>
      <c r="L42" s="8"/>
      <c r="M42" s="8"/>
      <c r="N42" s="8"/>
    </row>
    <row r="43" spans="1:14" x14ac:dyDescent="0.25">
      <c r="A43" s="17"/>
      <c r="B43" s="17"/>
      <c r="C43" s="30" t="s">
        <v>8</v>
      </c>
      <c r="D43" s="30"/>
      <c r="E43" s="17"/>
      <c r="F43" s="30" t="s">
        <v>9</v>
      </c>
      <c r="G43" s="30"/>
      <c r="H43" s="30"/>
      <c r="I43" s="8"/>
      <c r="J43" s="8"/>
      <c r="K43" s="8"/>
      <c r="L43" s="8"/>
      <c r="M43" s="8"/>
      <c r="N43" s="8"/>
    </row>
    <row r="44" spans="1:14" x14ac:dyDescent="0.25">
      <c r="A44" s="17"/>
      <c r="B44" s="17"/>
      <c r="C44" s="17"/>
      <c r="D44" s="17"/>
      <c r="E44" s="17"/>
      <c r="F44" s="17"/>
      <c r="G44" s="7"/>
      <c r="H44" s="7"/>
      <c r="I44" s="8"/>
      <c r="J44" s="8"/>
      <c r="K44" s="8"/>
      <c r="L44" s="8"/>
      <c r="M44" s="8"/>
      <c r="N44" s="8"/>
    </row>
    <row r="45" spans="1:14" x14ac:dyDescent="0.25">
      <c r="A45" s="17"/>
      <c r="B45" s="17"/>
      <c r="C45" s="17"/>
      <c r="D45" s="17"/>
      <c r="E45" s="17"/>
      <c r="F45" s="17"/>
      <c r="G45" s="7"/>
      <c r="H45" s="7"/>
      <c r="I45" s="8"/>
      <c r="J45" s="8"/>
      <c r="K45" s="8"/>
      <c r="L45" s="8"/>
      <c r="M45" s="8"/>
      <c r="N45" s="8"/>
    </row>
    <row r="46" spans="1:14" x14ac:dyDescent="0.25">
      <c r="A46" s="17"/>
      <c r="B46" s="17"/>
      <c r="C46" s="17"/>
      <c r="D46" s="17"/>
      <c r="E46" s="17"/>
      <c r="F46" s="17"/>
      <c r="G46" s="7"/>
      <c r="H46" s="7"/>
      <c r="I46" s="8"/>
      <c r="J46" s="8"/>
      <c r="K46" s="8"/>
      <c r="L46" s="8"/>
      <c r="M46" s="8"/>
      <c r="N46" s="8"/>
    </row>
    <row r="47" spans="1:14" x14ac:dyDescent="0.25">
      <c r="A47" s="33">
        <f ca="1">TODAY()</f>
        <v>44645</v>
      </c>
      <c r="B47" s="33"/>
      <c r="C47" s="34"/>
      <c r="D47" s="34"/>
      <c r="E47" s="7"/>
      <c r="F47" s="32" t="s">
        <v>10</v>
      </c>
      <c r="G47" s="32"/>
      <c r="H47" s="32"/>
      <c r="I47" s="8"/>
      <c r="J47" s="8"/>
      <c r="K47" s="8"/>
      <c r="L47" s="8"/>
      <c r="M47" s="8"/>
      <c r="N47" s="8"/>
    </row>
    <row r="48" spans="1:14" x14ac:dyDescent="0.25">
      <c r="A48" s="17"/>
      <c r="B48" s="17"/>
      <c r="C48" s="30" t="s">
        <v>8</v>
      </c>
      <c r="D48" s="30"/>
      <c r="E48" s="7"/>
      <c r="F48" s="31" t="s">
        <v>9</v>
      </c>
      <c r="G48" s="31"/>
      <c r="H48" s="31"/>
      <c r="I48" s="8"/>
      <c r="J48" s="8"/>
      <c r="K48" s="8"/>
      <c r="L48" s="8"/>
      <c r="M48" s="8"/>
      <c r="N48" s="8"/>
    </row>
    <row r="49" spans="1:14" x14ac:dyDescent="0.25">
      <c r="A49" s="17"/>
      <c r="B49" s="17"/>
      <c r="C49" s="17"/>
      <c r="D49" s="17"/>
      <c r="E49" s="17"/>
      <c r="F49" s="17"/>
      <c r="G49" s="7"/>
      <c r="H49" s="7"/>
      <c r="I49" s="8"/>
      <c r="J49" s="8"/>
      <c r="K49" s="8"/>
      <c r="L49" s="8"/>
      <c r="M49" s="8"/>
      <c r="N49" s="8"/>
    </row>
    <row r="50" spans="1:14" x14ac:dyDescent="0.25">
      <c r="A50" s="17"/>
      <c r="B50" s="17"/>
      <c r="C50" s="17"/>
      <c r="D50" s="17"/>
      <c r="E50" s="17"/>
      <c r="F50" s="17"/>
      <c r="G50" s="7"/>
      <c r="H50" s="7"/>
      <c r="I50" s="8"/>
      <c r="J50" s="8"/>
      <c r="K50" s="8"/>
      <c r="L50" s="8"/>
      <c r="M50" s="8"/>
      <c r="N50" s="8"/>
    </row>
    <row r="51" spans="1:14" x14ac:dyDescent="0.25">
      <c r="A51" s="11"/>
      <c r="B51" s="11"/>
      <c r="C51" s="11"/>
      <c r="D51" s="11"/>
      <c r="E51" s="11"/>
      <c r="F51" s="11"/>
      <c r="G51" s="7"/>
      <c r="H51" s="7"/>
      <c r="I51" s="8"/>
      <c r="J51" s="8"/>
      <c r="K51" s="8"/>
      <c r="L51" s="8"/>
      <c r="M51" s="8"/>
      <c r="N51" s="8"/>
    </row>
    <row r="52" spans="1:14" x14ac:dyDescent="0.25">
      <c r="A52" s="11"/>
      <c r="B52" s="11"/>
      <c r="C52" s="11"/>
      <c r="D52" s="11"/>
      <c r="E52" s="11"/>
      <c r="F52" s="11"/>
      <c r="G52" s="7"/>
      <c r="H52" s="7"/>
      <c r="I52" s="8"/>
      <c r="J52" s="8"/>
      <c r="K52" s="8"/>
      <c r="L52" s="8"/>
      <c r="M52" s="8"/>
      <c r="N52" s="8"/>
    </row>
    <row r="53" spans="1:14" x14ac:dyDescent="0.25">
      <c r="A53" s="11"/>
      <c r="B53" s="11"/>
      <c r="C53" s="11"/>
      <c r="D53" s="11"/>
      <c r="E53" s="11"/>
      <c r="F53" s="11"/>
      <c r="G53" s="7"/>
      <c r="H53" s="7"/>
      <c r="I53" s="8"/>
      <c r="J53" s="8"/>
      <c r="K53" s="8"/>
      <c r="L53" s="8"/>
      <c r="M53" s="8"/>
      <c r="N53" s="8"/>
    </row>
    <row r="54" spans="1:14" x14ac:dyDescent="0.25">
      <c r="A54" s="11"/>
      <c r="B54" s="11"/>
      <c r="C54" s="11"/>
      <c r="D54" s="11"/>
      <c r="E54" s="11"/>
      <c r="F54" s="11"/>
      <c r="G54" s="7"/>
      <c r="H54" s="7"/>
      <c r="I54" s="8"/>
      <c r="J54" s="8"/>
      <c r="K54" s="8"/>
      <c r="L54" s="8"/>
      <c r="M54" s="8"/>
      <c r="N54" s="8"/>
    </row>
    <row r="55" spans="1:14" x14ac:dyDescent="0.25">
      <c r="A55" s="7"/>
      <c r="B55" s="7"/>
      <c r="C55" s="7"/>
      <c r="D55" s="7"/>
      <c r="E55" s="7"/>
      <c r="F55" s="7"/>
      <c r="G55" s="7"/>
      <c r="H55" s="7"/>
      <c r="I55" s="8"/>
      <c r="J55" s="8"/>
      <c r="K55" s="8"/>
      <c r="L55" s="8"/>
      <c r="M55" s="8"/>
      <c r="N55" s="8"/>
    </row>
    <row r="56" spans="1:14" x14ac:dyDescent="0.25">
      <c r="A56" s="7"/>
      <c r="B56" s="7"/>
      <c r="C56" s="7"/>
      <c r="D56" s="7"/>
      <c r="E56" s="7"/>
      <c r="F56" s="7"/>
      <c r="G56" s="7"/>
      <c r="H56" s="7"/>
      <c r="I56" s="8"/>
      <c r="J56" s="8"/>
      <c r="K56" s="8"/>
      <c r="L56" s="8"/>
      <c r="M56" s="8"/>
      <c r="N56" s="8"/>
    </row>
    <row r="57" spans="1:14" x14ac:dyDescent="0.25">
      <c r="A57" s="7"/>
      <c r="B57" s="7"/>
      <c r="C57" s="7"/>
      <c r="D57" s="7"/>
      <c r="E57" s="7"/>
      <c r="F57" s="7"/>
      <c r="G57" s="7"/>
      <c r="H57" s="7"/>
      <c r="I57" s="8"/>
      <c r="J57" s="8"/>
      <c r="K57" s="8"/>
      <c r="L57" s="8"/>
      <c r="M57" s="8"/>
      <c r="N57" s="8"/>
    </row>
    <row r="58" spans="1:14" x14ac:dyDescent="0.25">
      <c r="A58" s="7"/>
      <c r="B58" s="7"/>
      <c r="C58" s="7"/>
      <c r="D58" s="7"/>
      <c r="E58" s="7"/>
      <c r="F58" s="7"/>
      <c r="G58" s="7"/>
      <c r="H58" s="7"/>
      <c r="I58" s="8"/>
      <c r="J58" s="8"/>
      <c r="K58" s="8"/>
      <c r="L58" s="8"/>
      <c r="M58" s="8"/>
      <c r="N58" s="8"/>
    </row>
    <row r="59" spans="1:14" x14ac:dyDescent="0.25">
      <c r="A59" s="2"/>
      <c r="B59" s="2"/>
      <c r="C59" s="2"/>
      <c r="D59" s="2"/>
      <c r="E59" s="2"/>
      <c r="F59" s="2"/>
      <c r="G59" s="2"/>
    </row>
    <row r="61" spans="1:14" x14ac:dyDescent="0.25">
      <c r="E61" s="3"/>
      <c r="F61" s="3"/>
    </row>
  </sheetData>
  <sheetProtection algorithmName="SHA-512" hashValue="wCwRFVl+AjcT+/6UnMDzC1sumjyUOqXWuOeyq2BOG2qiJ45LSCTACmFj+Qxfv2OE+BxGcIpp69/VUdL9MKC5Ug==" saltValue="6RzTPtT6dt1qLNDrmV4D7w==" spinCount="100000" sheet="1" formatCells="0" formatColumns="0" formatRows="0" insertColumns="0" insertRows="0" insertHyperlinks="0" deleteColumns="0" deleteRows="0" sort="0" autoFilter="0" pivotTables="0"/>
  <protectedRanges>
    <protectedRange sqref="E9" name="Диапазон1"/>
  </protectedRanges>
  <dataConsolidate/>
  <mergeCells count="27">
    <mergeCell ref="C48:D48"/>
    <mergeCell ref="F48:H48"/>
    <mergeCell ref="C43:D43"/>
    <mergeCell ref="F43:H43"/>
    <mergeCell ref="A20:E20"/>
    <mergeCell ref="F20:H20"/>
    <mergeCell ref="A42:B42"/>
    <mergeCell ref="C42:D42"/>
    <mergeCell ref="F42:H42"/>
    <mergeCell ref="A47:B47"/>
    <mergeCell ref="C47:D47"/>
    <mergeCell ref="F47:H47"/>
    <mergeCell ref="E10:H10"/>
    <mergeCell ref="A13:H13"/>
    <mergeCell ref="C16:D16"/>
    <mergeCell ref="A22:B22"/>
    <mergeCell ref="C22:H22"/>
    <mergeCell ref="A18:B18"/>
    <mergeCell ref="C18:H18"/>
    <mergeCell ref="A15:F15"/>
    <mergeCell ref="A16:B16"/>
    <mergeCell ref="E9:H9"/>
    <mergeCell ref="E1:H1"/>
    <mergeCell ref="E2:H2"/>
    <mergeCell ref="E3:H3"/>
    <mergeCell ref="E5:H6"/>
    <mergeCell ref="E7:H7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FF90EB-5618-4E7A-BFB8-C2DDA7645A3E}">
          <x14:formula1>
            <xm:f>Данные!$A$2:$A$5</xm:f>
          </x14:formula1>
          <xm:sqref>E9:H9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E5"/>
  <sheetViews>
    <sheetView workbookViewId="0">
      <selection activeCell="C2" sqref="C2"/>
    </sheetView>
  </sheetViews>
  <sheetFormatPr defaultColWidth="8.85546875" defaultRowHeight="15" x14ac:dyDescent="0.25"/>
  <cols>
    <col min="1" max="1" width="31.85546875" bestFit="1" customWidth="1"/>
    <col min="2" max="2" width="31.85546875" customWidth="1"/>
    <col min="3" max="3" width="76.7109375" customWidth="1"/>
    <col min="4" max="4" width="19.85546875" style="4" bestFit="1" customWidth="1"/>
  </cols>
  <sheetData>
    <row r="1" spans="1:5" x14ac:dyDescent="0.25">
      <c r="A1" s="5" t="s">
        <v>11</v>
      </c>
      <c r="B1" s="5" t="s">
        <v>11</v>
      </c>
      <c r="C1" s="5" t="s">
        <v>20</v>
      </c>
      <c r="D1" s="6" t="s">
        <v>12</v>
      </c>
      <c r="E1" s="5" t="s">
        <v>31</v>
      </c>
    </row>
    <row r="2" spans="1:5" x14ac:dyDescent="0.25">
      <c r="A2" t="s">
        <v>16</v>
      </c>
      <c r="B2" t="s">
        <v>26</v>
      </c>
      <c r="C2" t="s">
        <v>24</v>
      </c>
      <c r="D2" s="4" t="s">
        <v>17</v>
      </c>
      <c r="E2">
        <v>20000</v>
      </c>
    </row>
    <row r="3" spans="1:5" x14ac:dyDescent="0.25">
      <c r="A3" t="s">
        <v>14</v>
      </c>
      <c r="B3" t="s">
        <v>27</v>
      </c>
      <c r="C3" t="s">
        <v>23</v>
      </c>
      <c r="D3" s="4" t="s">
        <v>15</v>
      </c>
      <c r="E3">
        <v>7000</v>
      </c>
    </row>
    <row r="4" spans="1:5" x14ac:dyDescent="0.25">
      <c r="A4" t="s">
        <v>18</v>
      </c>
      <c r="B4" t="s">
        <v>28</v>
      </c>
      <c r="C4" t="s">
        <v>21</v>
      </c>
      <c r="D4" s="4" t="s">
        <v>19</v>
      </c>
      <c r="E4">
        <v>5000</v>
      </c>
    </row>
    <row r="5" spans="1:5" x14ac:dyDescent="0.25">
      <c r="A5" t="s">
        <v>13</v>
      </c>
      <c r="B5" t="s">
        <v>29</v>
      </c>
      <c r="C5" t="s">
        <v>22</v>
      </c>
      <c r="D5" s="4" t="s">
        <v>35</v>
      </c>
      <c r="E5">
        <v>7000</v>
      </c>
    </row>
  </sheetData>
  <sortState xmlns:xlrd2="http://schemas.microsoft.com/office/spreadsheetml/2017/richdata2" ref="A2:D5">
    <sortCondition ref="A2:A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Заявка</vt:lpstr>
      <vt:lpstr>Данные</vt:lpstr>
      <vt:lpstr>Заявка!Print_Area</vt:lpstr>
      <vt:lpstr>Заявка!Область_печати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Инна</cp:lastModifiedBy>
  <cp:lastPrinted>2022-03-25T10:10:43Z</cp:lastPrinted>
  <dcterms:created xsi:type="dcterms:W3CDTF">2015-06-05T18:19:34Z</dcterms:created>
  <dcterms:modified xsi:type="dcterms:W3CDTF">2022-03-25T10:11:21Z</dcterms:modified>
</cp:coreProperties>
</file>