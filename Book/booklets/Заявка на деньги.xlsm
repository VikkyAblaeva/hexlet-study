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ЭтаКнига"/>
  <mc:AlternateContent xmlns:mc="http://schemas.openxmlformats.org/markup-compatibility/2006">
    <mc:Choice Requires="x15">
      <x15ac:absPath xmlns:x15ac="http://schemas.microsoft.com/office/spreadsheetml/2010/11/ac" url="C:\Users\Admin\YandexDisk-te4nology\000Обмен\000 БАНК БЛАНКОВ\3 Заявка на ДЕНЬГИ\"/>
    </mc:Choice>
  </mc:AlternateContent>
  <bookViews>
    <workbookView xWindow="-120" yWindow="-120" windowWidth="29040" windowHeight="15840"/>
  </bookViews>
  <sheets>
    <sheet name="Деньги" sheetId="1" r:id="rId1"/>
    <sheet name="Данные" sheetId="2" state="hidden" r:id="rId2"/>
  </sheets>
  <externalReferences>
    <externalReference r:id="rId3"/>
  </externalReferences>
  <definedNames>
    <definedName name="затрат">[1]!Таблица2[Вид затрат]</definedName>
    <definedName name="_xlnm.Print_Area" localSheetId="0">Деньги!$A$1:$H$46</definedName>
    <definedName name="фио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E100" i="2" l="1"/>
  <c r="BE101" i="2"/>
  <c r="BE102" i="2"/>
  <c r="BE103" i="2"/>
  <c r="BE104" i="2"/>
  <c r="BE105" i="2"/>
  <c r="BE106" i="2"/>
  <c r="BE107" i="2"/>
  <c r="BE108" i="2"/>
  <c r="BE109" i="2"/>
  <c r="BE110" i="2"/>
  <c r="BE111" i="2"/>
  <c r="BE112" i="2"/>
  <c r="BE113" i="2"/>
  <c r="BE114" i="2"/>
  <c r="BE115" i="2"/>
  <c r="BE116" i="2"/>
  <c r="BE117" i="2"/>
  <c r="BE118" i="2"/>
  <c r="BE119" i="2"/>
  <c r="BE120" i="2"/>
  <c r="BE121" i="2"/>
  <c r="BE122" i="2"/>
  <c r="BE123" i="2"/>
  <c r="BE124" i="2"/>
  <c r="BE125" i="2"/>
  <c r="BE126" i="2"/>
  <c r="BE127" i="2"/>
  <c r="BE128" i="2"/>
  <c r="BD100" i="2"/>
  <c r="BD101" i="2"/>
  <c r="BD102" i="2"/>
  <c r="BD103" i="2"/>
  <c r="BD104" i="2"/>
  <c r="BD105" i="2"/>
  <c r="BD106" i="2"/>
  <c r="BD107" i="2"/>
  <c r="BD108" i="2"/>
  <c r="BD109" i="2"/>
  <c r="BD110" i="2"/>
  <c r="BD111" i="2"/>
  <c r="BD112" i="2"/>
  <c r="BD113" i="2"/>
  <c r="BD114" i="2"/>
  <c r="BD115" i="2"/>
  <c r="BD116" i="2"/>
  <c r="BD117" i="2"/>
  <c r="BD118" i="2"/>
  <c r="BD119" i="2"/>
  <c r="BD120" i="2"/>
  <c r="BD121" i="2"/>
  <c r="BD122" i="2"/>
  <c r="BD123" i="2"/>
  <c r="BD124" i="2"/>
  <c r="BD125" i="2"/>
  <c r="BD126" i="2"/>
  <c r="BD127" i="2"/>
  <c r="BD128" i="2"/>
  <c r="BC100" i="2"/>
  <c r="BC101" i="2"/>
  <c r="BC102" i="2"/>
  <c r="BC103" i="2"/>
  <c r="BC104" i="2"/>
  <c r="BC105" i="2"/>
  <c r="BC106" i="2"/>
  <c r="BC107" i="2"/>
  <c r="BC108" i="2"/>
  <c r="BC109" i="2"/>
  <c r="BC110" i="2"/>
  <c r="BC111" i="2"/>
  <c r="BC112" i="2"/>
  <c r="BC113" i="2"/>
  <c r="BC114" i="2"/>
  <c r="BC115" i="2"/>
  <c r="BC116" i="2"/>
  <c r="BC117" i="2"/>
  <c r="BC118" i="2"/>
  <c r="BC119" i="2"/>
  <c r="BC120" i="2"/>
  <c r="BC121" i="2"/>
  <c r="BC122" i="2"/>
  <c r="BC123" i="2"/>
  <c r="BC124" i="2"/>
  <c r="BC125" i="2"/>
  <c r="BC126" i="2"/>
  <c r="BC127" i="2"/>
  <c r="BC128" i="2"/>
  <c r="BB100" i="2"/>
  <c r="BB101" i="2"/>
  <c r="BB102" i="2"/>
  <c r="BB103" i="2"/>
  <c r="BB104" i="2"/>
  <c r="BB105" i="2"/>
  <c r="BB106" i="2"/>
  <c r="BB107" i="2"/>
  <c r="BB108" i="2"/>
  <c r="BB109" i="2"/>
  <c r="BB110" i="2"/>
  <c r="BB111" i="2"/>
  <c r="BB112" i="2"/>
  <c r="BB113" i="2"/>
  <c r="BB114" i="2"/>
  <c r="BB115" i="2"/>
  <c r="BB116" i="2"/>
  <c r="BB117" i="2"/>
  <c r="BB118" i="2"/>
  <c r="BB119" i="2"/>
  <c r="BB120" i="2"/>
  <c r="BB121" i="2"/>
  <c r="BB122" i="2"/>
  <c r="BB123" i="2"/>
  <c r="BB124" i="2"/>
  <c r="BB125" i="2"/>
  <c r="BB126" i="2"/>
  <c r="BB127" i="2"/>
  <c r="BB128" i="2"/>
  <c r="BB129" i="2"/>
  <c r="BA100" i="2"/>
  <c r="BA101" i="2"/>
  <c r="BA102" i="2"/>
  <c r="BA103" i="2"/>
  <c r="BA104" i="2"/>
  <c r="BA105" i="2"/>
  <c r="BA106" i="2"/>
  <c r="BA107" i="2"/>
  <c r="BA108" i="2"/>
  <c r="BA109" i="2"/>
  <c r="BA110" i="2"/>
  <c r="BA111" i="2"/>
  <c r="BA112" i="2"/>
  <c r="BA113" i="2"/>
  <c r="BA114" i="2"/>
  <c r="BA115" i="2"/>
  <c r="BA116" i="2"/>
  <c r="BA117" i="2"/>
  <c r="BA118" i="2"/>
  <c r="BA119" i="2"/>
  <c r="BA120" i="2"/>
  <c r="BA121" i="2"/>
  <c r="BA122" i="2"/>
  <c r="BA123" i="2"/>
  <c r="BA124" i="2"/>
  <c r="BA125" i="2"/>
  <c r="BA126" i="2"/>
  <c r="BA127" i="2"/>
  <c r="BA128" i="2"/>
  <c r="AZ100" i="2"/>
  <c r="AZ101" i="2"/>
  <c r="AZ102" i="2"/>
  <c r="AZ103" i="2"/>
  <c r="AZ104" i="2"/>
  <c r="AZ105" i="2"/>
  <c r="AZ106" i="2"/>
  <c r="AZ107" i="2"/>
  <c r="AZ108" i="2"/>
  <c r="AZ109" i="2"/>
  <c r="AZ110" i="2"/>
  <c r="AZ111" i="2"/>
  <c r="AZ112" i="2"/>
  <c r="AZ113" i="2"/>
  <c r="AZ114" i="2"/>
  <c r="AZ115" i="2"/>
  <c r="AZ116" i="2"/>
  <c r="AZ117" i="2"/>
  <c r="AZ118" i="2"/>
  <c r="AZ119" i="2"/>
  <c r="AZ120" i="2"/>
  <c r="AZ121" i="2"/>
  <c r="AZ122" i="2"/>
  <c r="AZ123" i="2"/>
  <c r="AZ124" i="2"/>
  <c r="AZ125" i="2"/>
  <c r="AZ126" i="2"/>
  <c r="AZ127" i="2"/>
  <c r="AZ128" i="2"/>
  <c r="AY100" i="2"/>
  <c r="AY101" i="2"/>
  <c r="AY102" i="2"/>
  <c r="AY103" i="2"/>
  <c r="AY104" i="2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117" i="2"/>
  <c r="AY118" i="2"/>
  <c r="AY119" i="2"/>
  <c r="AY120" i="2"/>
  <c r="AY121" i="2"/>
  <c r="AY122" i="2"/>
  <c r="AY123" i="2"/>
  <c r="AY124" i="2"/>
  <c r="AY125" i="2"/>
  <c r="AY126" i="2"/>
  <c r="AY127" i="2"/>
  <c r="AY128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W128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U100" i="2"/>
  <c r="AU101" i="2"/>
  <c r="AU102" i="2"/>
  <c r="AU103" i="2"/>
  <c r="AU104" i="2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117" i="2"/>
  <c r="AU118" i="2"/>
  <c r="AU119" i="2"/>
  <c r="AU120" i="2"/>
  <c r="AU121" i="2"/>
  <c r="AU122" i="2"/>
  <c r="AU123" i="2"/>
  <c r="AU124" i="2"/>
  <c r="AU125" i="2"/>
  <c r="AU126" i="2"/>
  <c r="AU127" i="2"/>
  <c r="AU128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S100" i="2"/>
  <c r="AS101" i="2"/>
  <c r="AS102" i="2"/>
  <c r="AS103" i="2"/>
  <c r="AS104" i="2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117" i="2"/>
  <c r="AS118" i="2"/>
  <c r="AS119" i="2"/>
  <c r="AS120" i="2"/>
  <c r="AS121" i="2"/>
  <c r="AS122" i="2"/>
  <c r="AS123" i="2"/>
  <c r="AS124" i="2"/>
  <c r="AS125" i="2"/>
  <c r="AS126" i="2"/>
  <c r="AS127" i="2"/>
  <c r="AS128" i="2"/>
  <c r="AR100" i="2"/>
  <c r="AR101" i="2"/>
  <c r="AR102" i="2"/>
  <c r="AR103" i="2"/>
  <c r="AR104" i="2"/>
  <c r="AR105" i="2"/>
  <c r="AR106" i="2"/>
  <c r="AR107" i="2"/>
  <c r="AR108" i="2"/>
  <c r="AR109" i="2"/>
  <c r="AR110" i="2"/>
  <c r="AR111" i="2"/>
  <c r="AR112" i="2"/>
  <c r="AR113" i="2"/>
  <c r="AR114" i="2"/>
  <c r="AR115" i="2"/>
  <c r="AR116" i="2"/>
  <c r="AR117" i="2"/>
  <c r="AR118" i="2"/>
  <c r="AR119" i="2"/>
  <c r="AR120" i="2"/>
  <c r="AR121" i="2"/>
  <c r="AR122" i="2"/>
  <c r="AR123" i="2"/>
  <c r="AR124" i="2"/>
  <c r="AR125" i="2"/>
  <c r="AR126" i="2"/>
  <c r="AR127" i="2"/>
  <c r="AR128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119" i="2"/>
  <c r="AM120" i="2"/>
  <c r="AM121" i="2"/>
  <c r="AM122" i="2"/>
  <c r="AM123" i="2"/>
  <c r="AM124" i="2"/>
  <c r="AM125" i="2"/>
  <c r="AM126" i="2"/>
  <c r="AM127" i="2"/>
  <c r="AM128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" i="2"/>
  <c r="BE99" i="2" l="1"/>
  <c r="BD99" i="2"/>
  <c r="BC99" i="2"/>
  <c r="BB99" i="2"/>
  <c r="BA99" i="2"/>
  <c r="AZ99" i="2"/>
  <c r="AY99" i="2"/>
  <c r="AX99" i="2"/>
  <c r="AW99" i="2"/>
  <c r="AV99" i="2"/>
  <c r="AU99" i="2"/>
  <c r="AT99" i="2"/>
  <c r="AS99" i="2"/>
  <c r="AR99" i="2"/>
  <c r="AQ99" i="2"/>
  <c r="AP99" i="2"/>
  <c r="AO99" i="2"/>
  <c r="AN99" i="2"/>
  <c r="AM99" i="2"/>
  <c r="AL99" i="2"/>
  <c r="AK99" i="2"/>
  <c r="AJ99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Q99" i="2"/>
  <c r="P99" i="2"/>
  <c r="O99" i="2"/>
  <c r="N99" i="2"/>
  <c r="L99" i="2"/>
  <c r="K99" i="2"/>
  <c r="J99" i="2"/>
  <c r="I99" i="2"/>
  <c r="H99" i="2"/>
  <c r="G99" i="2"/>
  <c r="F99" i="2"/>
  <c r="E99" i="2"/>
  <c r="D99" i="2"/>
  <c r="B99" i="2"/>
  <c r="A99" i="2"/>
  <c r="BE98" i="2"/>
  <c r="BD98" i="2"/>
  <c r="BC98" i="2"/>
  <c r="BB98" i="2"/>
  <c r="BA98" i="2"/>
  <c r="AZ98" i="2"/>
  <c r="AY98" i="2"/>
  <c r="AX98" i="2"/>
  <c r="AW98" i="2"/>
  <c r="AV98" i="2"/>
  <c r="AU98" i="2"/>
  <c r="AT98" i="2"/>
  <c r="AS98" i="2"/>
  <c r="AR98" i="2"/>
  <c r="AQ98" i="2"/>
  <c r="AP98" i="2"/>
  <c r="AO98" i="2"/>
  <c r="AN98" i="2"/>
  <c r="AM98" i="2"/>
  <c r="AL98" i="2"/>
  <c r="AK98" i="2"/>
  <c r="AJ98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L98" i="2"/>
  <c r="K98" i="2"/>
  <c r="J98" i="2"/>
  <c r="I98" i="2"/>
  <c r="H98" i="2"/>
  <c r="G98" i="2"/>
  <c r="F98" i="2"/>
  <c r="E98" i="2"/>
  <c r="D98" i="2"/>
  <c r="B98" i="2"/>
  <c r="A98" i="2"/>
  <c r="BE97" i="2"/>
  <c r="BD97" i="2"/>
  <c r="BC97" i="2"/>
  <c r="BB97" i="2"/>
  <c r="BA97" i="2"/>
  <c r="AZ97" i="2"/>
  <c r="AY97" i="2"/>
  <c r="AX97" i="2"/>
  <c r="AW97" i="2"/>
  <c r="AV97" i="2"/>
  <c r="AU97" i="2"/>
  <c r="AT97" i="2"/>
  <c r="AS97" i="2"/>
  <c r="AR97" i="2"/>
  <c r="AQ97" i="2"/>
  <c r="AP97" i="2"/>
  <c r="AO97" i="2"/>
  <c r="AN97" i="2"/>
  <c r="AM97" i="2"/>
  <c r="AL97" i="2"/>
  <c r="AK97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L97" i="2"/>
  <c r="K97" i="2"/>
  <c r="J97" i="2"/>
  <c r="I97" i="2"/>
  <c r="H97" i="2"/>
  <c r="G97" i="2"/>
  <c r="F97" i="2"/>
  <c r="E97" i="2"/>
  <c r="D97" i="2"/>
  <c r="B97" i="2"/>
  <c r="A97" i="2"/>
  <c r="BE96" i="2"/>
  <c r="BD96" i="2"/>
  <c r="BC96" i="2"/>
  <c r="BB96" i="2"/>
  <c r="BA96" i="2"/>
  <c r="AZ96" i="2"/>
  <c r="AY96" i="2"/>
  <c r="AX96" i="2"/>
  <c r="AW96" i="2"/>
  <c r="AV96" i="2"/>
  <c r="AU96" i="2"/>
  <c r="AT96" i="2"/>
  <c r="AS96" i="2"/>
  <c r="AR96" i="2"/>
  <c r="AQ96" i="2"/>
  <c r="AP96" i="2"/>
  <c r="AO96" i="2"/>
  <c r="AN96" i="2"/>
  <c r="AM96" i="2"/>
  <c r="AL96" i="2"/>
  <c r="AK96" i="2"/>
  <c r="AJ96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L96" i="2"/>
  <c r="K96" i="2"/>
  <c r="J96" i="2"/>
  <c r="I96" i="2"/>
  <c r="H96" i="2"/>
  <c r="G96" i="2"/>
  <c r="F96" i="2"/>
  <c r="E96" i="2"/>
  <c r="D96" i="2"/>
  <c r="B96" i="2"/>
  <c r="A96" i="2"/>
  <c r="BE95" i="2"/>
  <c r="BD95" i="2"/>
  <c r="BC95" i="2"/>
  <c r="BB95" i="2"/>
  <c r="BA95" i="2"/>
  <c r="AZ95" i="2"/>
  <c r="AY95" i="2"/>
  <c r="AX95" i="2"/>
  <c r="AW95" i="2"/>
  <c r="AV95" i="2"/>
  <c r="AU95" i="2"/>
  <c r="AT95" i="2"/>
  <c r="AS95" i="2"/>
  <c r="AR95" i="2"/>
  <c r="AQ95" i="2"/>
  <c r="AP95" i="2"/>
  <c r="AO95" i="2"/>
  <c r="AN95" i="2"/>
  <c r="AM95" i="2"/>
  <c r="AL95" i="2"/>
  <c r="AK95" i="2"/>
  <c r="AJ95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L95" i="2"/>
  <c r="K95" i="2"/>
  <c r="J95" i="2"/>
  <c r="I95" i="2"/>
  <c r="H95" i="2"/>
  <c r="G95" i="2"/>
  <c r="F95" i="2"/>
  <c r="E95" i="2"/>
  <c r="D95" i="2"/>
  <c r="B95" i="2"/>
  <c r="A95" i="2"/>
  <c r="BE94" i="2"/>
  <c r="BD94" i="2"/>
  <c r="BC94" i="2"/>
  <c r="BB94" i="2"/>
  <c r="BA94" i="2"/>
  <c r="AZ94" i="2"/>
  <c r="AY94" i="2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L94" i="2"/>
  <c r="K94" i="2"/>
  <c r="J94" i="2"/>
  <c r="I94" i="2"/>
  <c r="H94" i="2"/>
  <c r="G94" i="2"/>
  <c r="F94" i="2"/>
  <c r="E94" i="2"/>
  <c r="D94" i="2"/>
  <c r="B94" i="2"/>
  <c r="A94" i="2"/>
  <c r="BE93" i="2"/>
  <c r="BD93" i="2"/>
  <c r="BC93" i="2"/>
  <c r="BB93" i="2"/>
  <c r="BA93" i="2"/>
  <c r="AZ93" i="2"/>
  <c r="AY93" i="2"/>
  <c r="AX93" i="2"/>
  <c r="AW93" i="2"/>
  <c r="AV93" i="2"/>
  <c r="AU93" i="2"/>
  <c r="AT93" i="2"/>
  <c r="AS93" i="2"/>
  <c r="AR93" i="2"/>
  <c r="AQ93" i="2"/>
  <c r="AP93" i="2"/>
  <c r="AO93" i="2"/>
  <c r="AN93" i="2"/>
  <c r="AM93" i="2"/>
  <c r="AL93" i="2"/>
  <c r="AK93" i="2"/>
  <c r="AJ93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L93" i="2"/>
  <c r="K93" i="2"/>
  <c r="J93" i="2"/>
  <c r="I93" i="2"/>
  <c r="H93" i="2"/>
  <c r="G93" i="2"/>
  <c r="F93" i="2"/>
  <c r="E93" i="2"/>
  <c r="D93" i="2"/>
  <c r="B93" i="2"/>
  <c r="A93" i="2"/>
  <c r="BE92" i="2"/>
  <c r="BD92" i="2"/>
  <c r="BC92" i="2"/>
  <c r="BB92" i="2"/>
  <c r="BA92" i="2"/>
  <c r="AZ92" i="2"/>
  <c r="AY92" i="2"/>
  <c r="AX92" i="2"/>
  <c r="AW92" i="2"/>
  <c r="AV92" i="2"/>
  <c r="AU92" i="2"/>
  <c r="AT92" i="2"/>
  <c r="AS92" i="2"/>
  <c r="AR92" i="2"/>
  <c r="AQ92" i="2"/>
  <c r="AP92" i="2"/>
  <c r="AO92" i="2"/>
  <c r="AN92" i="2"/>
  <c r="AM92" i="2"/>
  <c r="AL92" i="2"/>
  <c r="AK92" i="2"/>
  <c r="AJ92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L92" i="2"/>
  <c r="K92" i="2"/>
  <c r="J92" i="2"/>
  <c r="I92" i="2"/>
  <c r="H92" i="2"/>
  <c r="G92" i="2"/>
  <c r="F92" i="2"/>
  <c r="E92" i="2"/>
  <c r="D92" i="2"/>
  <c r="B92" i="2"/>
  <c r="A92" i="2"/>
  <c r="BE91" i="2"/>
  <c r="BD91" i="2"/>
  <c r="BC91" i="2"/>
  <c r="BB91" i="2"/>
  <c r="BA91" i="2"/>
  <c r="AZ91" i="2"/>
  <c r="AY91" i="2"/>
  <c r="AX91" i="2"/>
  <c r="AW91" i="2"/>
  <c r="AV91" i="2"/>
  <c r="AU91" i="2"/>
  <c r="AT91" i="2"/>
  <c r="AS91" i="2"/>
  <c r="AR91" i="2"/>
  <c r="AQ91" i="2"/>
  <c r="AP91" i="2"/>
  <c r="AO91" i="2"/>
  <c r="AN91" i="2"/>
  <c r="AM91" i="2"/>
  <c r="AL91" i="2"/>
  <c r="AK91" i="2"/>
  <c r="AJ91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L91" i="2"/>
  <c r="K91" i="2"/>
  <c r="J91" i="2"/>
  <c r="I91" i="2"/>
  <c r="H91" i="2"/>
  <c r="G91" i="2"/>
  <c r="F91" i="2"/>
  <c r="E91" i="2"/>
  <c r="D91" i="2"/>
  <c r="B91" i="2"/>
  <c r="A91" i="2"/>
  <c r="BE90" i="2"/>
  <c r="BD90" i="2"/>
  <c r="BC90" i="2"/>
  <c r="BB90" i="2"/>
  <c r="BA90" i="2"/>
  <c r="AZ90" i="2"/>
  <c r="AY90" i="2"/>
  <c r="AX90" i="2"/>
  <c r="AW90" i="2"/>
  <c r="AV90" i="2"/>
  <c r="AU90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L90" i="2"/>
  <c r="K90" i="2"/>
  <c r="J90" i="2"/>
  <c r="I90" i="2"/>
  <c r="H90" i="2"/>
  <c r="G90" i="2"/>
  <c r="F90" i="2"/>
  <c r="E90" i="2"/>
  <c r="D90" i="2"/>
  <c r="B90" i="2"/>
  <c r="A90" i="2"/>
  <c r="BE89" i="2"/>
  <c r="BD89" i="2"/>
  <c r="BC89" i="2"/>
  <c r="BB89" i="2"/>
  <c r="BA89" i="2"/>
  <c r="AZ89" i="2"/>
  <c r="AY89" i="2"/>
  <c r="AX89" i="2"/>
  <c r="AW89" i="2"/>
  <c r="AV89" i="2"/>
  <c r="AU89" i="2"/>
  <c r="AT89" i="2"/>
  <c r="AS89" i="2"/>
  <c r="AR89" i="2"/>
  <c r="AQ89" i="2"/>
  <c r="AP89" i="2"/>
  <c r="AO89" i="2"/>
  <c r="AN89" i="2"/>
  <c r="AM89" i="2"/>
  <c r="AL89" i="2"/>
  <c r="AK89" i="2"/>
  <c r="AJ89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L89" i="2"/>
  <c r="K89" i="2"/>
  <c r="J89" i="2"/>
  <c r="I89" i="2"/>
  <c r="H89" i="2"/>
  <c r="G89" i="2"/>
  <c r="F89" i="2"/>
  <c r="E89" i="2"/>
  <c r="D89" i="2"/>
  <c r="B89" i="2"/>
  <c r="A89" i="2"/>
  <c r="BE88" i="2"/>
  <c r="BD88" i="2"/>
  <c r="BC88" i="2"/>
  <c r="BB88" i="2"/>
  <c r="BA88" i="2"/>
  <c r="AZ88" i="2"/>
  <c r="AY88" i="2"/>
  <c r="AX88" i="2"/>
  <c r="AW88" i="2"/>
  <c r="AV88" i="2"/>
  <c r="AU88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L88" i="2"/>
  <c r="K88" i="2"/>
  <c r="J88" i="2"/>
  <c r="I88" i="2"/>
  <c r="H88" i="2"/>
  <c r="G88" i="2"/>
  <c r="F88" i="2"/>
  <c r="E88" i="2"/>
  <c r="D88" i="2"/>
  <c r="B88" i="2"/>
  <c r="A88" i="2"/>
  <c r="BE87" i="2"/>
  <c r="BD87" i="2"/>
  <c r="BC87" i="2"/>
  <c r="BB87" i="2"/>
  <c r="BA87" i="2"/>
  <c r="AZ87" i="2"/>
  <c r="AY87" i="2"/>
  <c r="AX87" i="2"/>
  <c r="AW87" i="2"/>
  <c r="AV87" i="2"/>
  <c r="AU87" i="2"/>
  <c r="AT87" i="2"/>
  <c r="AS87" i="2"/>
  <c r="AR87" i="2"/>
  <c r="AQ87" i="2"/>
  <c r="AP87" i="2"/>
  <c r="AO87" i="2"/>
  <c r="AN87" i="2"/>
  <c r="AM87" i="2"/>
  <c r="AL87" i="2"/>
  <c r="AK87" i="2"/>
  <c r="AJ87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L87" i="2"/>
  <c r="K87" i="2"/>
  <c r="J87" i="2"/>
  <c r="I87" i="2"/>
  <c r="H87" i="2"/>
  <c r="G87" i="2"/>
  <c r="F87" i="2"/>
  <c r="E87" i="2"/>
  <c r="D87" i="2"/>
  <c r="B87" i="2"/>
  <c r="A87" i="2"/>
  <c r="BE86" i="2"/>
  <c r="BD86" i="2"/>
  <c r="BC86" i="2"/>
  <c r="BB86" i="2"/>
  <c r="BA86" i="2"/>
  <c r="AZ86" i="2"/>
  <c r="AY86" i="2"/>
  <c r="AX86" i="2"/>
  <c r="AW86" i="2"/>
  <c r="AV86" i="2"/>
  <c r="AU86" i="2"/>
  <c r="AT86" i="2"/>
  <c r="AS86" i="2"/>
  <c r="AR86" i="2"/>
  <c r="AQ86" i="2"/>
  <c r="AP86" i="2"/>
  <c r="AO86" i="2"/>
  <c r="AN86" i="2"/>
  <c r="AM86" i="2"/>
  <c r="AL86" i="2"/>
  <c r="AK86" i="2"/>
  <c r="AJ86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L86" i="2"/>
  <c r="K86" i="2"/>
  <c r="J86" i="2"/>
  <c r="I86" i="2"/>
  <c r="H86" i="2"/>
  <c r="G86" i="2"/>
  <c r="F86" i="2"/>
  <c r="E86" i="2"/>
  <c r="D86" i="2"/>
  <c r="B86" i="2"/>
  <c r="A86" i="2"/>
  <c r="BE85" i="2"/>
  <c r="BD85" i="2"/>
  <c r="BC85" i="2"/>
  <c r="BB85" i="2"/>
  <c r="BA85" i="2"/>
  <c r="AZ85" i="2"/>
  <c r="AY85" i="2"/>
  <c r="AX85" i="2"/>
  <c r="AW85" i="2"/>
  <c r="AV85" i="2"/>
  <c r="AU85" i="2"/>
  <c r="AT85" i="2"/>
  <c r="AS85" i="2"/>
  <c r="AR85" i="2"/>
  <c r="AQ85" i="2"/>
  <c r="AP85" i="2"/>
  <c r="AO85" i="2"/>
  <c r="AN85" i="2"/>
  <c r="AM85" i="2"/>
  <c r="AL85" i="2"/>
  <c r="AK85" i="2"/>
  <c r="AJ85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L85" i="2"/>
  <c r="K85" i="2"/>
  <c r="J85" i="2"/>
  <c r="I85" i="2"/>
  <c r="H85" i="2"/>
  <c r="G85" i="2"/>
  <c r="F85" i="2"/>
  <c r="E85" i="2"/>
  <c r="D85" i="2"/>
  <c r="B85" i="2"/>
  <c r="A85" i="2"/>
  <c r="BE84" i="2"/>
  <c r="BD84" i="2"/>
  <c r="BC84" i="2"/>
  <c r="BB84" i="2"/>
  <c r="BA84" i="2"/>
  <c r="AZ84" i="2"/>
  <c r="AY84" i="2"/>
  <c r="AX84" i="2"/>
  <c r="AW84" i="2"/>
  <c r="AV84" i="2"/>
  <c r="AU84" i="2"/>
  <c r="AT84" i="2"/>
  <c r="AS84" i="2"/>
  <c r="AR84" i="2"/>
  <c r="AQ84" i="2"/>
  <c r="AP84" i="2"/>
  <c r="AO84" i="2"/>
  <c r="AN84" i="2"/>
  <c r="AM84" i="2"/>
  <c r="AL84" i="2"/>
  <c r="AK84" i="2"/>
  <c r="AJ84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L84" i="2"/>
  <c r="K84" i="2"/>
  <c r="J84" i="2"/>
  <c r="I84" i="2"/>
  <c r="H84" i="2"/>
  <c r="G84" i="2"/>
  <c r="F84" i="2"/>
  <c r="E84" i="2"/>
  <c r="D84" i="2"/>
  <c r="B84" i="2"/>
  <c r="A84" i="2"/>
  <c r="BE83" i="2"/>
  <c r="BD83" i="2"/>
  <c r="BC83" i="2"/>
  <c r="BB83" i="2"/>
  <c r="BA83" i="2"/>
  <c r="AZ83" i="2"/>
  <c r="AY83" i="2"/>
  <c r="AX83" i="2"/>
  <c r="AW83" i="2"/>
  <c r="AV83" i="2"/>
  <c r="AU83" i="2"/>
  <c r="AT83" i="2"/>
  <c r="AS83" i="2"/>
  <c r="AR83" i="2"/>
  <c r="AQ83" i="2"/>
  <c r="AP83" i="2"/>
  <c r="AO83" i="2"/>
  <c r="AN83" i="2"/>
  <c r="AM83" i="2"/>
  <c r="AL83" i="2"/>
  <c r="AK83" i="2"/>
  <c r="AJ83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L83" i="2"/>
  <c r="K83" i="2"/>
  <c r="J83" i="2"/>
  <c r="I83" i="2"/>
  <c r="H83" i="2"/>
  <c r="G83" i="2"/>
  <c r="F83" i="2"/>
  <c r="E83" i="2"/>
  <c r="D83" i="2"/>
  <c r="B83" i="2"/>
  <c r="A83" i="2"/>
  <c r="BE82" i="2"/>
  <c r="BD82" i="2"/>
  <c r="BC82" i="2"/>
  <c r="BB82" i="2"/>
  <c r="BA82" i="2"/>
  <c r="AZ82" i="2"/>
  <c r="AY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L82" i="2"/>
  <c r="K82" i="2"/>
  <c r="J82" i="2"/>
  <c r="I82" i="2"/>
  <c r="H82" i="2"/>
  <c r="G82" i="2"/>
  <c r="F82" i="2"/>
  <c r="E82" i="2"/>
  <c r="D82" i="2"/>
  <c r="B82" i="2"/>
  <c r="A82" i="2"/>
  <c r="BE81" i="2"/>
  <c r="BD81" i="2"/>
  <c r="BC81" i="2"/>
  <c r="BB81" i="2"/>
  <c r="BA81" i="2"/>
  <c r="AZ81" i="2"/>
  <c r="AY81" i="2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L81" i="2"/>
  <c r="K81" i="2"/>
  <c r="J81" i="2"/>
  <c r="I81" i="2"/>
  <c r="H81" i="2"/>
  <c r="G81" i="2"/>
  <c r="F81" i="2"/>
  <c r="E81" i="2"/>
  <c r="D81" i="2"/>
  <c r="B81" i="2"/>
  <c r="A81" i="2"/>
  <c r="BE80" i="2"/>
  <c r="BD80" i="2"/>
  <c r="BC80" i="2"/>
  <c r="BB80" i="2"/>
  <c r="BA80" i="2"/>
  <c r="AZ80" i="2"/>
  <c r="AY80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L80" i="2"/>
  <c r="K80" i="2"/>
  <c r="J80" i="2"/>
  <c r="I80" i="2"/>
  <c r="H80" i="2"/>
  <c r="G80" i="2"/>
  <c r="F80" i="2"/>
  <c r="E80" i="2"/>
  <c r="D80" i="2"/>
  <c r="B80" i="2"/>
  <c r="A80" i="2"/>
  <c r="BE79" i="2"/>
  <c r="BD79" i="2"/>
  <c r="BC79" i="2"/>
  <c r="BB79" i="2"/>
  <c r="BA79" i="2"/>
  <c r="AZ79" i="2"/>
  <c r="AY79" i="2"/>
  <c r="AX79" i="2"/>
  <c r="AW79" i="2"/>
  <c r="AV79" i="2"/>
  <c r="AU79" i="2"/>
  <c r="AT79" i="2"/>
  <c r="AS79" i="2"/>
  <c r="AR79" i="2"/>
  <c r="AQ79" i="2"/>
  <c r="AP79" i="2"/>
  <c r="AO79" i="2"/>
  <c r="AN79" i="2"/>
  <c r="AM79" i="2"/>
  <c r="AL79" i="2"/>
  <c r="AK79" i="2"/>
  <c r="AJ79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L79" i="2"/>
  <c r="K79" i="2"/>
  <c r="J79" i="2"/>
  <c r="I79" i="2"/>
  <c r="H79" i="2"/>
  <c r="G79" i="2"/>
  <c r="F79" i="2"/>
  <c r="E79" i="2"/>
  <c r="D79" i="2"/>
  <c r="B79" i="2"/>
  <c r="A79" i="2"/>
  <c r="BE78" i="2"/>
  <c r="BD78" i="2"/>
  <c r="BC78" i="2"/>
  <c r="BB78" i="2"/>
  <c r="BA78" i="2"/>
  <c r="AZ78" i="2"/>
  <c r="AY78" i="2"/>
  <c r="AX78" i="2"/>
  <c r="AW78" i="2"/>
  <c r="AV78" i="2"/>
  <c r="AU78" i="2"/>
  <c r="AT78" i="2"/>
  <c r="AS78" i="2"/>
  <c r="AR78" i="2"/>
  <c r="AQ78" i="2"/>
  <c r="AP78" i="2"/>
  <c r="AO78" i="2"/>
  <c r="AN78" i="2"/>
  <c r="AM78" i="2"/>
  <c r="AL78" i="2"/>
  <c r="AK78" i="2"/>
  <c r="AJ78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L78" i="2"/>
  <c r="K78" i="2"/>
  <c r="J78" i="2"/>
  <c r="I78" i="2"/>
  <c r="H78" i="2"/>
  <c r="G78" i="2"/>
  <c r="F78" i="2"/>
  <c r="E78" i="2"/>
  <c r="D78" i="2"/>
  <c r="B78" i="2"/>
  <c r="A78" i="2"/>
  <c r="BE77" i="2"/>
  <c r="BD77" i="2"/>
  <c r="BC77" i="2"/>
  <c r="BB77" i="2"/>
  <c r="BA77" i="2"/>
  <c r="AZ77" i="2"/>
  <c r="AY77" i="2"/>
  <c r="AX77" i="2"/>
  <c r="AW77" i="2"/>
  <c r="AV77" i="2"/>
  <c r="AU77" i="2"/>
  <c r="AT77" i="2"/>
  <c r="AS77" i="2"/>
  <c r="AR77" i="2"/>
  <c r="AQ77" i="2"/>
  <c r="AP77" i="2"/>
  <c r="AO77" i="2"/>
  <c r="AN77" i="2"/>
  <c r="AM77" i="2"/>
  <c r="AL77" i="2"/>
  <c r="AK77" i="2"/>
  <c r="AJ77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L77" i="2"/>
  <c r="K77" i="2"/>
  <c r="J77" i="2"/>
  <c r="I77" i="2"/>
  <c r="H77" i="2"/>
  <c r="G77" i="2"/>
  <c r="F77" i="2"/>
  <c r="E77" i="2"/>
  <c r="D77" i="2"/>
  <c r="B77" i="2"/>
  <c r="A77" i="2"/>
  <c r="BE76" i="2"/>
  <c r="BD76" i="2"/>
  <c r="BC76" i="2"/>
  <c r="BB76" i="2"/>
  <c r="BA76" i="2"/>
  <c r="AZ76" i="2"/>
  <c r="AY76" i="2"/>
  <c r="AX76" i="2"/>
  <c r="AW76" i="2"/>
  <c r="AV76" i="2"/>
  <c r="AU76" i="2"/>
  <c r="AT76" i="2"/>
  <c r="AS76" i="2"/>
  <c r="AR76" i="2"/>
  <c r="AQ76" i="2"/>
  <c r="AP76" i="2"/>
  <c r="AO76" i="2"/>
  <c r="AN76" i="2"/>
  <c r="AM76" i="2"/>
  <c r="AL76" i="2"/>
  <c r="AK76" i="2"/>
  <c r="AJ76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L76" i="2"/>
  <c r="K76" i="2"/>
  <c r="J76" i="2"/>
  <c r="I76" i="2"/>
  <c r="H76" i="2"/>
  <c r="G76" i="2"/>
  <c r="F76" i="2"/>
  <c r="E76" i="2"/>
  <c r="D76" i="2"/>
  <c r="B76" i="2"/>
  <c r="A76" i="2"/>
  <c r="BE75" i="2"/>
  <c r="BD75" i="2"/>
  <c r="BC75" i="2"/>
  <c r="BB75" i="2"/>
  <c r="BA75" i="2"/>
  <c r="AZ75" i="2"/>
  <c r="AY75" i="2"/>
  <c r="AX75" i="2"/>
  <c r="AW75" i="2"/>
  <c r="AV75" i="2"/>
  <c r="AU75" i="2"/>
  <c r="AT75" i="2"/>
  <c r="AS75" i="2"/>
  <c r="AR75" i="2"/>
  <c r="AQ75" i="2"/>
  <c r="AP75" i="2"/>
  <c r="AO75" i="2"/>
  <c r="AN75" i="2"/>
  <c r="AM75" i="2"/>
  <c r="AL75" i="2"/>
  <c r="AK75" i="2"/>
  <c r="AJ75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L75" i="2"/>
  <c r="K75" i="2"/>
  <c r="J75" i="2"/>
  <c r="I75" i="2"/>
  <c r="H75" i="2"/>
  <c r="G75" i="2"/>
  <c r="F75" i="2"/>
  <c r="E75" i="2"/>
  <c r="D75" i="2"/>
  <c r="B75" i="2"/>
  <c r="A75" i="2"/>
  <c r="BE74" i="2"/>
  <c r="BD74" i="2"/>
  <c r="BC74" i="2"/>
  <c r="BB74" i="2"/>
  <c r="BA74" i="2"/>
  <c r="AZ74" i="2"/>
  <c r="AY74" i="2"/>
  <c r="AX74" i="2"/>
  <c r="AW74" i="2"/>
  <c r="AV74" i="2"/>
  <c r="AU74" i="2"/>
  <c r="AT74" i="2"/>
  <c r="AS74" i="2"/>
  <c r="AR74" i="2"/>
  <c r="AQ74" i="2"/>
  <c r="AP74" i="2"/>
  <c r="AO74" i="2"/>
  <c r="AN74" i="2"/>
  <c r="AM74" i="2"/>
  <c r="AL74" i="2"/>
  <c r="AK74" i="2"/>
  <c r="AJ74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L74" i="2"/>
  <c r="K74" i="2"/>
  <c r="J74" i="2"/>
  <c r="I74" i="2"/>
  <c r="H74" i="2"/>
  <c r="G74" i="2"/>
  <c r="F74" i="2"/>
  <c r="E74" i="2"/>
  <c r="D74" i="2"/>
  <c r="B74" i="2"/>
  <c r="A74" i="2"/>
  <c r="BE73" i="2"/>
  <c r="BD73" i="2"/>
  <c r="BC73" i="2"/>
  <c r="BB73" i="2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L73" i="2"/>
  <c r="K73" i="2"/>
  <c r="J73" i="2"/>
  <c r="I73" i="2"/>
  <c r="H73" i="2"/>
  <c r="G73" i="2"/>
  <c r="F73" i="2"/>
  <c r="E73" i="2"/>
  <c r="D73" i="2"/>
  <c r="B73" i="2"/>
  <c r="A73" i="2"/>
  <c r="BE72" i="2"/>
  <c r="BD72" i="2"/>
  <c r="BC72" i="2"/>
  <c r="BB72" i="2"/>
  <c r="BA72" i="2"/>
  <c r="AZ72" i="2"/>
  <c r="AY72" i="2"/>
  <c r="AX72" i="2"/>
  <c r="AW72" i="2"/>
  <c r="AV72" i="2"/>
  <c r="AU72" i="2"/>
  <c r="AT72" i="2"/>
  <c r="AS72" i="2"/>
  <c r="AR72" i="2"/>
  <c r="AQ72" i="2"/>
  <c r="AP72" i="2"/>
  <c r="AO72" i="2"/>
  <c r="AN72" i="2"/>
  <c r="AM72" i="2"/>
  <c r="AL72" i="2"/>
  <c r="AK72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L72" i="2"/>
  <c r="K72" i="2"/>
  <c r="J72" i="2"/>
  <c r="I72" i="2"/>
  <c r="H72" i="2"/>
  <c r="G72" i="2"/>
  <c r="F72" i="2"/>
  <c r="E72" i="2"/>
  <c r="D72" i="2"/>
  <c r="B72" i="2"/>
  <c r="A72" i="2"/>
  <c r="BE71" i="2"/>
  <c r="BD71" i="2"/>
  <c r="BC71" i="2"/>
  <c r="BB71" i="2"/>
  <c r="BA71" i="2"/>
  <c r="AZ71" i="2"/>
  <c r="AY71" i="2"/>
  <c r="AX71" i="2"/>
  <c r="AW71" i="2"/>
  <c r="AV71" i="2"/>
  <c r="AU71" i="2"/>
  <c r="AT71" i="2"/>
  <c r="AS71" i="2"/>
  <c r="AR71" i="2"/>
  <c r="AQ71" i="2"/>
  <c r="AP71" i="2"/>
  <c r="AO71" i="2"/>
  <c r="AN71" i="2"/>
  <c r="AM71" i="2"/>
  <c r="AL71" i="2"/>
  <c r="AK71" i="2"/>
  <c r="AJ71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L71" i="2"/>
  <c r="K71" i="2"/>
  <c r="J71" i="2"/>
  <c r="I71" i="2"/>
  <c r="H71" i="2"/>
  <c r="G71" i="2"/>
  <c r="F71" i="2"/>
  <c r="E71" i="2"/>
  <c r="D71" i="2"/>
  <c r="B71" i="2"/>
  <c r="A71" i="2"/>
  <c r="BE70" i="2"/>
  <c r="BD70" i="2"/>
  <c r="BC70" i="2"/>
  <c r="BB70" i="2"/>
  <c r="BA70" i="2"/>
  <c r="AZ70" i="2"/>
  <c r="AY70" i="2"/>
  <c r="AX70" i="2"/>
  <c r="AW70" i="2"/>
  <c r="AV70" i="2"/>
  <c r="AU70" i="2"/>
  <c r="AT70" i="2"/>
  <c r="AS70" i="2"/>
  <c r="AR70" i="2"/>
  <c r="AQ70" i="2"/>
  <c r="AP70" i="2"/>
  <c r="AO70" i="2"/>
  <c r="AN70" i="2"/>
  <c r="AM70" i="2"/>
  <c r="AL70" i="2"/>
  <c r="AK70" i="2"/>
  <c r="AJ70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L70" i="2"/>
  <c r="K70" i="2"/>
  <c r="J70" i="2"/>
  <c r="I70" i="2"/>
  <c r="H70" i="2"/>
  <c r="G70" i="2"/>
  <c r="F70" i="2"/>
  <c r="E70" i="2"/>
  <c r="D70" i="2"/>
  <c r="B70" i="2"/>
  <c r="A70" i="2"/>
  <c r="BE69" i="2"/>
  <c r="BD69" i="2"/>
  <c r="BC69" i="2"/>
  <c r="BB69" i="2"/>
  <c r="BA69" i="2"/>
  <c r="AZ69" i="2"/>
  <c r="AY69" i="2"/>
  <c r="AX69" i="2"/>
  <c r="AW69" i="2"/>
  <c r="AV69" i="2"/>
  <c r="AU69" i="2"/>
  <c r="AT69" i="2"/>
  <c r="AS69" i="2"/>
  <c r="AR69" i="2"/>
  <c r="AQ69" i="2"/>
  <c r="AP69" i="2"/>
  <c r="AO69" i="2"/>
  <c r="AN69" i="2"/>
  <c r="AM69" i="2"/>
  <c r="AL69" i="2"/>
  <c r="AK69" i="2"/>
  <c r="AJ69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L69" i="2"/>
  <c r="K69" i="2"/>
  <c r="J69" i="2"/>
  <c r="I69" i="2"/>
  <c r="H69" i="2"/>
  <c r="G69" i="2"/>
  <c r="F69" i="2"/>
  <c r="E69" i="2"/>
  <c r="D69" i="2"/>
  <c r="B69" i="2"/>
  <c r="A69" i="2"/>
  <c r="BE68" i="2"/>
  <c r="BD68" i="2"/>
  <c r="BC68" i="2"/>
  <c r="BB68" i="2"/>
  <c r="BA68" i="2"/>
  <c r="AZ68" i="2"/>
  <c r="AY68" i="2"/>
  <c r="AX68" i="2"/>
  <c r="AW68" i="2"/>
  <c r="AV68" i="2"/>
  <c r="AU68" i="2"/>
  <c r="AT68" i="2"/>
  <c r="AS68" i="2"/>
  <c r="AR68" i="2"/>
  <c r="AQ68" i="2"/>
  <c r="AP68" i="2"/>
  <c r="AO68" i="2"/>
  <c r="AN68" i="2"/>
  <c r="AM68" i="2"/>
  <c r="AL68" i="2"/>
  <c r="AK68" i="2"/>
  <c r="AJ68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L68" i="2"/>
  <c r="K68" i="2"/>
  <c r="J68" i="2"/>
  <c r="I68" i="2"/>
  <c r="H68" i="2"/>
  <c r="G68" i="2"/>
  <c r="F68" i="2"/>
  <c r="E68" i="2"/>
  <c r="D68" i="2"/>
  <c r="B68" i="2"/>
  <c r="A68" i="2"/>
  <c r="BE67" i="2"/>
  <c r="BD67" i="2"/>
  <c r="BC67" i="2"/>
  <c r="BB67" i="2"/>
  <c r="BA67" i="2"/>
  <c r="AZ67" i="2"/>
  <c r="AY67" i="2"/>
  <c r="AX67" i="2"/>
  <c r="AW67" i="2"/>
  <c r="AV67" i="2"/>
  <c r="AU67" i="2"/>
  <c r="AT67" i="2"/>
  <c r="AS67" i="2"/>
  <c r="AR67" i="2"/>
  <c r="AQ67" i="2"/>
  <c r="AP67" i="2"/>
  <c r="AO67" i="2"/>
  <c r="AN67" i="2"/>
  <c r="AM67" i="2"/>
  <c r="AL67" i="2"/>
  <c r="AK67" i="2"/>
  <c r="AJ67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L67" i="2"/>
  <c r="K67" i="2"/>
  <c r="J67" i="2"/>
  <c r="I67" i="2"/>
  <c r="H67" i="2"/>
  <c r="G67" i="2"/>
  <c r="F67" i="2"/>
  <c r="E67" i="2"/>
  <c r="D67" i="2"/>
  <c r="B67" i="2"/>
  <c r="A67" i="2"/>
  <c r="BE66" i="2"/>
  <c r="BD66" i="2"/>
  <c r="BC66" i="2"/>
  <c r="BB66" i="2"/>
  <c r="BA66" i="2"/>
  <c r="AZ66" i="2"/>
  <c r="AY66" i="2"/>
  <c r="AX66" i="2"/>
  <c r="AW66" i="2"/>
  <c r="AV66" i="2"/>
  <c r="AU66" i="2"/>
  <c r="AT66" i="2"/>
  <c r="AS66" i="2"/>
  <c r="AR66" i="2"/>
  <c r="AQ66" i="2"/>
  <c r="AP66" i="2"/>
  <c r="AO66" i="2"/>
  <c r="AN66" i="2"/>
  <c r="AM66" i="2"/>
  <c r="AL66" i="2"/>
  <c r="AK66" i="2"/>
  <c r="AJ66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L66" i="2"/>
  <c r="K66" i="2"/>
  <c r="J66" i="2"/>
  <c r="I66" i="2"/>
  <c r="H66" i="2"/>
  <c r="G66" i="2"/>
  <c r="F66" i="2"/>
  <c r="E66" i="2"/>
  <c r="D66" i="2"/>
  <c r="B66" i="2"/>
  <c r="A66" i="2"/>
  <c r="BE65" i="2"/>
  <c r="BD65" i="2"/>
  <c r="BC65" i="2"/>
  <c r="BB65" i="2"/>
  <c r="BA65" i="2"/>
  <c r="AZ65" i="2"/>
  <c r="AY65" i="2"/>
  <c r="AX65" i="2"/>
  <c r="AW65" i="2"/>
  <c r="AV65" i="2"/>
  <c r="AU65" i="2"/>
  <c r="AT65" i="2"/>
  <c r="AS65" i="2"/>
  <c r="AR65" i="2"/>
  <c r="AQ65" i="2"/>
  <c r="AP65" i="2"/>
  <c r="AO65" i="2"/>
  <c r="AN65" i="2"/>
  <c r="AM65" i="2"/>
  <c r="AL65" i="2"/>
  <c r="AK65" i="2"/>
  <c r="AJ65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L65" i="2"/>
  <c r="K65" i="2"/>
  <c r="J65" i="2"/>
  <c r="I65" i="2"/>
  <c r="H65" i="2"/>
  <c r="G65" i="2"/>
  <c r="F65" i="2"/>
  <c r="E65" i="2"/>
  <c r="D65" i="2"/>
  <c r="B65" i="2"/>
  <c r="A65" i="2"/>
  <c r="BE64" i="2"/>
  <c r="BD64" i="2"/>
  <c r="BC64" i="2"/>
  <c r="BB64" i="2"/>
  <c r="BA64" i="2"/>
  <c r="AZ64" i="2"/>
  <c r="AY64" i="2"/>
  <c r="AX64" i="2"/>
  <c r="AW64" i="2"/>
  <c r="AV64" i="2"/>
  <c r="AU64" i="2"/>
  <c r="AT64" i="2"/>
  <c r="AS64" i="2"/>
  <c r="AR64" i="2"/>
  <c r="AQ64" i="2"/>
  <c r="AP64" i="2"/>
  <c r="AO64" i="2"/>
  <c r="AN64" i="2"/>
  <c r="AM64" i="2"/>
  <c r="AL64" i="2"/>
  <c r="AK64" i="2"/>
  <c r="AJ64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L64" i="2"/>
  <c r="K64" i="2"/>
  <c r="J64" i="2"/>
  <c r="I64" i="2"/>
  <c r="H64" i="2"/>
  <c r="G64" i="2"/>
  <c r="F64" i="2"/>
  <c r="E64" i="2"/>
  <c r="D64" i="2"/>
  <c r="B64" i="2"/>
  <c r="A64" i="2"/>
  <c r="BE63" i="2"/>
  <c r="BD63" i="2"/>
  <c r="BC63" i="2"/>
  <c r="BB63" i="2"/>
  <c r="BA63" i="2"/>
  <c r="AZ63" i="2"/>
  <c r="AY63" i="2"/>
  <c r="AX63" i="2"/>
  <c r="AW63" i="2"/>
  <c r="AV63" i="2"/>
  <c r="AU63" i="2"/>
  <c r="AT63" i="2"/>
  <c r="AS63" i="2"/>
  <c r="AR63" i="2"/>
  <c r="AQ63" i="2"/>
  <c r="AP63" i="2"/>
  <c r="AO63" i="2"/>
  <c r="AN63" i="2"/>
  <c r="AM63" i="2"/>
  <c r="AL63" i="2"/>
  <c r="AK63" i="2"/>
  <c r="AJ63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L63" i="2"/>
  <c r="K63" i="2"/>
  <c r="J63" i="2"/>
  <c r="I63" i="2"/>
  <c r="H63" i="2"/>
  <c r="G63" i="2"/>
  <c r="F63" i="2"/>
  <c r="E63" i="2"/>
  <c r="D63" i="2"/>
  <c r="B63" i="2"/>
  <c r="A63" i="2"/>
  <c r="BE62" i="2"/>
  <c r="BD62" i="2"/>
  <c r="BC62" i="2"/>
  <c r="BB62" i="2"/>
  <c r="BA62" i="2"/>
  <c r="AZ62" i="2"/>
  <c r="AY62" i="2"/>
  <c r="AX62" i="2"/>
  <c r="AW62" i="2"/>
  <c r="AV62" i="2"/>
  <c r="AU62" i="2"/>
  <c r="AT62" i="2"/>
  <c r="AS62" i="2"/>
  <c r="AR62" i="2"/>
  <c r="AQ62" i="2"/>
  <c r="AP62" i="2"/>
  <c r="AO62" i="2"/>
  <c r="AN62" i="2"/>
  <c r="AM62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L62" i="2"/>
  <c r="K62" i="2"/>
  <c r="J62" i="2"/>
  <c r="I62" i="2"/>
  <c r="H62" i="2"/>
  <c r="G62" i="2"/>
  <c r="F62" i="2"/>
  <c r="E62" i="2"/>
  <c r="D62" i="2"/>
  <c r="B62" i="2"/>
  <c r="A62" i="2"/>
  <c r="BE61" i="2"/>
  <c r="BD61" i="2"/>
  <c r="BC61" i="2"/>
  <c r="BB61" i="2"/>
  <c r="BA61" i="2"/>
  <c r="AZ61" i="2"/>
  <c r="AY61" i="2"/>
  <c r="AX61" i="2"/>
  <c r="AW61" i="2"/>
  <c r="AV61" i="2"/>
  <c r="AU61" i="2"/>
  <c r="AT61" i="2"/>
  <c r="AS61" i="2"/>
  <c r="AR61" i="2"/>
  <c r="AQ61" i="2"/>
  <c r="AP61" i="2"/>
  <c r="AO61" i="2"/>
  <c r="AN61" i="2"/>
  <c r="AM61" i="2"/>
  <c r="AL61" i="2"/>
  <c r="AK61" i="2"/>
  <c r="AJ61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L61" i="2"/>
  <c r="K61" i="2"/>
  <c r="J61" i="2"/>
  <c r="I61" i="2"/>
  <c r="H61" i="2"/>
  <c r="G61" i="2"/>
  <c r="F61" i="2"/>
  <c r="E61" i="2"/>
  <c r="D61" i="2"/>
  <c r="B61" i="2"/>
  <c r="A61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Q60" i="2"/>
  <c r="AP60" i="2"/>
  <c r="AO60" i="2"/>
  <c r="AN60" i="2"/>
  <c r="AM60" i="2"/>
  <c r="AL60" i="2"/>
  <c r="AK60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L60" i="2"/>
  <c r="K60" i="2"/>
  <c r="J60" i="2"/>
  <c r="I60" i="2"/>
  <c r="H60" i="2"/>
  <c r="G60" i="2"/>
  <c r="F60" i="2"/>
  <c r="E60" i="2"/>
  <c r="D60" i="2"/>
  <c r="B60" i="2"/>
  <c r="A60" i="2"/>
  <c r="BE59" i="2"/>
  <c r="BD59" i="2"/>
  <c r="BC59" i="2"/>
  <c r="BB59" i="2"/>
  <c r="BA59" i="2"/>
  <c r="AZ59" i="2"/>
  <c r="AY59" i="2"/>
  <c r="AX59" i="2"/>
  <c r="AW59" i="2"/>
  <c r="AV59" i="2"/>
  <c r="AU59" i="2"/>
  <c r="AT59" i="2"/>
  <c r="AS59" i="2"/>
  <c r="AR59" i="2"/>
  <c r="AQ59" i="2"/>
  <c r="AP59" i="2"/>
  <c r="AO59" i="2"/>
  <c r="AN59" i="2"/>
  <c r="AM59" i="2"/>
  <c r="AL59" i="2"/>
  <c r="AK59" i="2"/>
  <c r="AJ59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L59" i="2"/>
  <c r="K59" i="2"/>
  <c r="J59" i="2"/>
  <c r="I59" i="2"/>
  <c r="H59" i="2"/>
  <c r="G59" i="2"/>
  <c r="F59" i="2"/>
  <c r="E59" i="2"/>
  <c r="D59" i="2"/>
  <c r="B59" i="2"/>
  <c r="A59" i="2"/>
  <c r="BE58" i="2"/>
  <c r="BD58" i="2"/>
  <c r="BC58" i="2"/>
  <c r="BB58" i="2"/>
  <c r="BA58" i="2"/>
  <c r="AZ58" i="2"/>
  <c r="AY58" i="2"/>
  <c r="AX58" i="2"/>
  <c r="AW58" i="2"/>
  <c r="AV58" i="2"/>
  <c r="AU58" i="2"/>
  <c r="AT58" i="2"/>
  <c r="AS58" i="2"/>
  <c r="AR58" i="2"/>
  <c r="AQ58" i="2"/>
  <c r="AP58" i="2"/>
  <c r="AO58" i="2"/>
  <c r="AN58" i="2"/>
  <c r="AM58" i="2"/>
  <c r="AL58" i="2"/>
  <c r="AK58" i="2"/>
  <c r="AJ58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L58" i="2"/>
  <c r="K58" i="2"/>
  <c r="J58" i="2"/>
  <c r="I58" i="2"/>
  <c r="H58" i="2"/>
  <c r="G58" i="2"/>
  <c r="F58" i="2"/>
  <c r="E58" i="2"/>
  <c r="D58" i="2"/>
  <c r="B58" i="2"/>
  <c r="A58" i="2"/>
  <c r="BE57" i="2"/>
  <c r="BD57" i="2"/>
  <c r="BC57" i="2"/>
  <c r="BB57" i="2"/>
  <c r="BA57" i="2"/>
  <c r="AZ57" i="2"/>
  <c r="AY57" i="2"/>
  <c r="AX57" i="2"/>
  <c r="AW57" i="2"/>
  <c r="AV57" i="2"/>
  <c r="AU57" i="2"/>
  <c r="AT57" i="2"/>
  <c r="AS57" i="2"/>
  <c r="AR57" i="2"/>
  <c r="AQ57" i="2"/>
  <c r="AP57" i="2"/>
  <c r="AO57" i="2"/>
  <c r="AN57" i="2"/>
  <c r="AM57" i="2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L57" i="2"/>
  <c r="K57" i="2"/>
  <c r="J57" i="2"/>
  <c r="I57" i="2"/>
  <c r="H57" i="2"/>
  <c r="G57" i="2"/>
  <c r="F57" i="2"/>
  <c r="E57" i="2"/>
  <c r="D57" i="2"/>
  <c r="B57" i="2"/>
  <c r="A57" i="2"/>
  <c r="BE56" i="2"/>
  <c r="BD56" i="2"/>
  <c r="BC56" i="2"/>
  <c r="BB56" i="2"/>
  <c r="BA56" i="2"/>
  <c r="AZ56" i="2"/>
  <c r="AY56" i="2"/>
  <c r="AX56" i="2"/>
  <c r="AW56" i="2"/>
  <c r="AV56" i="2"/>
  <c r="AU56" i="2"/>
  <c r="AT56" i="2"/>
  <c r="AS56" i="2"/>
  <c r="AR56" i="2"/>
  <c r="AQ56" i="2"/>
  <c r="AP56" i="2"/>
  <c r="AO56" i="2"/>
  <c r="AN56" i="2"/>
  <c r="AM56" i="2"/>
  <c r="AL56" i="2"/>
  <c r="AK56" i="2"/>
  <c r="AJ56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L56" i="2"/>
  <c r="K56" i="2"/>
  <c r="J56" i="2"/>
  <c r="I56" i="2"/>
  <c r="H56" i="2"/>
  <c r="G56" i="2"/>
  <c r="F56" i="2"/>
  <c r="E56" i="2"/>
  <c r="D56" i="2"/>
  <c r="B56" i="2"/>
  <c r="A56" i="2"/>
  <c r="BE55" i="2"/>
  <c r="BD55" i="2"/>
  <c r="BC55" i="2"/>
  <c r="BB55" i="2"/>
  <c r="BA55" i="2"/>
  <c r="AZ55" i="2"/>
  <c r="AY55" i="2"/>
  <c r="AX55" i="2"/>
  <c r="AW55" i="2"/>
  <c r="AV55" i="2"/>
  <c r="AU55" i="2"/>
  <c r="AT55" i="2"/>
  <c r="AS55" i="2"/>
  <c r="AR55" i="2"/>
  <c r="AQ55" i="2"/>
  <c r="AP55" i="2"/>
  <c r="AO55" i="2"/>
  <c r="AN55" i="2"/>
  <c r="AM55" i="2"/>
  <c r="AL55" i="2"/>
  <c r="AK55" i="2"/>
  <c r="AJ55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L55" i="2"/>
  <c r="K55" i="2"/>
  <c r="J55" i="2"/>
  <c r="I55" i="2"/>
  <c r="H55" i="2"/>
  <c r="G55" i="2"/>
  <c r="F55" i="2"/>
  <c r="E55" i="2"/>
  <c r="D55" i="2"/>
  <c r="B55" i="2"/>
  <c r="A55" i="2"/>
  <c r="BE54" i="2"/>
  <c r="BD54" i="2"/>
  <c r="BC54" i="2"/>
  <c r="BB54" i="2"/>
  <c r="BA54" i="2"/>
  <c r="AZ54" i="2"/>
  <c r="AY54" i="2"/>
  <c r="AX54" i="2"/>
  <c r="AW54" i="2"/>
  <c r="AV54" i="2"/>
  <c r="AU54" i="2"/>
  <c r="AT54" i="2"/>
  <c r="AS54" i="2"/>
  <c r="AR54" i="2"/>
  <c r="AQ54" i="2"/>
  <c r="AP54" i="2"/>
  <c r="AO54" i="2"/>
  <c r="AN54" i="2"/>
  <c r="AM54" i="2"/>
  <c r="AL54" i="2"/>
  <c r="AK54" i="2"/>
  <c r="AJ54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L54" i="2"/>
  <c r="K54" i="2"/>
  <c r="J54" i="2"/>
  <c r="I54" i="2"/>
  <c r="H54" i="2"/>
  <c r="G54" i="2"/>
  <c r="F54" i="2"/>
  <c r="E54" i="2"/>
  <c r="D54" i="2"/>
  <c r="B54" i="2"/>
  <c r="A54" i="2"/>
  <c r="BE53" i="2"/>
  <c r="BD53" i="2"/>
  <c r="BC53" i="2"/>
  <c r="BB53" i="2"/>
  <c r="BA53" i="2"/>
  <c r="AZ53" i="2"/>
  <c r="AY53" i="2"/>
  <c r="AX53" i="2"/>
  <c r="AW53" i="2"/>
  <c r="AV53" i="2"/>
  <c r="AU53" i="2"/>
  <c r="AT53" i="2"/>
  <c r="AS53" i="2"/>
  <c r="AR53" i="2"/>
  <c r="AQ53" i="2"/>
  <c r="AP53" i="2"/>
  <c r="AO53" i="2"/>
  <c r="AN53" i="2"/>
  <c r="AM53" i="2"/>
  <c r="AL53" i="2"/>
  <c r="AK53" i="2"/>
  <c r="AJ53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L53" i="2"/>
  <c r="K53" i="2"/>
  <c r="J53" i="2"/>
  <c r="I53" i="2"/>
  <c r="H53" i="2"/>
  <c r="G53" i="2"/>
  <c r="F53" i="2"/>
  <c r="E53" i="2"/>
  <c r="D53" i="2"/>
  <c r="B53" i="2"/>
  <c r="A53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L52" i="2"/>
  <c r="K52" i="2"/>
  <c r="J52" i="2"/>
  <c r="I52" i="2"/>
  <c r="H52" i="2"/>
  <c r="G52" i="2"/>
  <c r="F52" i="2"/>
  <c r="E52" i="2"/>
  <c r="D52" i="2"/>
  <c r="B52" i="2"/>
  <c r="A52" i="2"/>
  <c r="BE51" i="2"/>
  <c r="BD51" i="2"/>
  <c r="BC51" i="2"/>
  <c r="BB51" i="2"/>
  <c r="BA51" i="2"/>
  <c r="AZ51" i="2"/>
  <c r="AY51" i="2"/>
  <c r="AX51" i="2"/>
  <c r="AW51" i="2"/>
  <c r="AV51" i="2"/>
  <c r="AU51" i="2"/>
  <c r="AT51" i="2"/>
  <c r="AS51" i="2"/>
  <c r="AR51" i="2"/>
  <c r="AQ51" i="2"/>
  <c r="AP51" i="2"/>
  <c r="AO51" i="2"/>
  <c r="AN51" i="2"/>
  <c r="AM51" i="2"/>
  <c r="AL51" i="2"/>
  <c r="AK51" i="2"/>
  <c r="AJ51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L51" i="2"/>
  <c r="K51" i="2"/>
  <c r="J51" i="2"/>
  <c r="I51" i="2"/>
  <c r="H51" i="2"/>
  <c r="G51" i="2"/>
  <c r="F51" i="2"/>
  <c r="E51" i="2"/>
  <c r="D51" i="2"/>
  <c r="B51" i="2"/>
  <c r="A51" i="2"/>
  <c r="BE50" i="2"/>
  <c r="BD50" i="2"/>
  <c r="BC50" i="2"/>
  <c r="BB50" i="2"/>
  <c r="BA50" i="2"/>
  <c r="AZ50" i="2"/>
  <c r="AY50" i="2"/>
  <c r="AX50" i="2"/>
  <c r="AW50" i="2"/>
  <c r="AV50" i="2"/>
  <c r="AU50" i="2"/>
  <c r="AT50" i="2"/>
  <c r="AS50" i="2"/>
  <c r="AR50" i="2"/>
  <c r="AQ50" i="2"/>
  <c r="AP50" i="2"/>
  <c r="AO50" i="2"/>
  <c r="AN50" i="2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L50" i="2"/>
  <c r="K50" i="2"/>
  <c r="J50" i="2"/>
  <c r="I50" i="2"/>
  <c r="H50" i="2"/>
  <c r="G50" i="2"/>
  <c r="F50" i="2"/>
  <c r="E50" i="2"/>
  <c r="D50" i="2"/>
  <c r="B50" i="2"/>
  <c r="A50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L49" i="2"/>
  <c r="K49" i="2"/>
  <c r="J49" i="2"/>
  <c r="I49" i="2"/>
  <c r="H49" i="2"/>
  <c r="G49" i="2"/>
  <c r="F49" i="2"/>
  <c r="E49" i="2"/>
  <c r="D49" i="2"/>
  <c r="B49" i="2"/>
  <c r="A49" i="2"/>
  <c r="BE48" i="2"/>
  <c r="BD48" i="2"/>
  <c r="BC48" i="2"/>
  <c r="BB48" i="2"/>
  <c r="BA48" i="2"/>
  <c r="AZ48" i="2"/>
  <c r="AY48" i="2"/>
  <c r="AX48" i="2"/>
  <c r="AW48" i="2"/>
  <c r="AV48" i="2"/>
  <c r="AU48" i="2"/>
  <c r="AT48" i="2"/>
  <c r="AS48" i="2"/>
  <c r="AR48" i="2"/>
  <c r="AQ48" i="2"/>
  <c r="AP48" i="2"/>
  <c r="AO48" i="2"/>
  <c r="AN48" i="2"/>
  <c r="AM48" i="2"/>
  <c r="AL48" i="2"/>
  <c r="AK48" i="2"/>
  <c r="AJ48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L48" i="2"/>
  <c r="K48" i="2"/>
  <c r="J48" i="2"/>
  <c r="I48" i="2"/>
  <c r="H48" i="2"/>
  <c r="G48" i="2"/>
  <c r="F48" i="2"/>
  <c r="E48" i="2"/>
  <c r="D48" i="2"/>
  <c r="B48" i="2"/>
  <c r="A48" i="2"/>
  <c r="BE47" i="2"/>
  <c r="BD47" i="2"/>
  <c r="BC47" i="2"/>
  <c r="BB47" i="2"/>
  <c r="BA47" i="2"/>
  <c r="AZ47" i="2"/>
  <c r="AY47" i="2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L47" i="2"/>
  <c r="K47" i="2"/>
  <c r="J47" i="2"/>
  <c r="I47" i="2"/>
  <c r="H47" i="2"/>
  <c r="G47" i="2"/>
  <c r="F47" i="2"/>
  <c r="E47" i="2"/>
  <c r="D47" i="2"/>
  <c r="B47" i="2"/>
  <c r="A47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L46" i="2"/>
  <c r="K46" i="2"/>
  <c r="J46" i="2"/>
  <c r="I46" i="2"/>
  <c r="H46" i="2"/>
  <c r="G46" i="2"/>
  <c r="F46" i="2"/>
  <c r="E46" i="2"/>
  <c r="D46" i="2"/>
  <c r="B46" i="2"/>
  <c r="A46" i="2"/>
  <c r="BE45" i="2"/>
  <c r="BD45" i="2"/>
  <c r="BC45" i="2"/>
  <c r="BB45" i="2"/>
  <c r="BA45" i="2"/>
  <c r="AZ45" i="2"/>
  <c r="AY45" i="2"/>
  <c r="AX45" i="2"/>
  <c r="AW45" i="2"/>
  <c r="AV45" i="2"/>
  <c r="AU45" i="2"/>
  <c r="AT45" i="2"/>
  <c r="AS45" i="2"/>
  <c r="AR45" i="2"/>
  <c r="AQ45" i="2"/>
  <c r="AP45" i="2"/>
  <c r="AO45" i="2"/>
  <c r="AN45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L45" i="2"/>
  <c r="K45" i="2"/>
  <c r="J45" i="2"/>
  <c r="I45" i="2"/>
  <c r="H45" i="2"/>
  <c r="G45" i="2"/>
  <c r="F45" i="2"/>
  <c r="E45" i="2"/>
  <c r="D45" i="2"/>
  <c r="B45" i="2"/>
  <c r="A45" i="2"/>
  <c r="BE44" i="2"/>
  <c r="BD44" i="2"/>
  <c r="BC44" i="2"/>
  <c r="BB44" i="2"/>
  <c r="BA44" i="2"/>
  <c r="AZ44" i="2"/>
  <c r="AY44" i="2"/>
  <c r="AX44" i="2"/>
  <c r="AW44" i="2"/>
  <c r="AV44" i="2"/>
  <c r="AU44" i="2"/>
  <c r="AT44" i="2"/>
  <c r="AS44" i="2"/>
  <c r="AR44" i="2"/>
  <c r="AQ44" i="2"/>
  <c r="AP44" i="2"/>
  <c r="AO44" i="2"/>
  <c r="AN44" i="2"/>
  <c r="AM44" i="2"/>
  <c r="AL44" i="2"/>
  <c r="AK44" i="2"/>
  <c r="AJ44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L44" i="2"/>
  <c r="K44" i="2"/>
  <c r="J44" i="2"/>
  <c r="I44" i="2"/>
  <c r="H44" i="2"/>
  <c r="G44" i="2"/>
  <c r="F44" i="2"/>
  <c r="E44" i="2"/>
  <c r="D44" i="2"/>
  <c r="B44" i="2"/>
  <c r="A44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L43" i="2"/>
  <c r="K43" i="2"/>
  <c r="J43" i="2"/>
  <c r="I43" i="2"/>
  <c r="H43" i="2"/>
  <c r="G43" i="2"/>
  <c r="F43" i="2"/>
  <c r="E43" i="2"/>
  <c r="D43" i="2"/>
  <c r="B43" i="2"/>
  <c r="A43" i="2"/>
  <c r="BE42" i="2"/>
  <c r="BD42" i="2"/>
  <c r="BC42" i="2"/>
  <c r="BB42" i="2"/>
  <c r="BA42" i="2"/>
  <c r="AZ42" i="2"/>
  <c r="AY42" i="2"/>
  <c r="AX42" i="2"/>
  <c r="AW42" i="2"/>
  <c r="AV42" i="2"/>
  <c r="AU42" i="2"/>
  <c r="AT42" i="2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L42" i="2"/>
  <c r="K42" i="2"/>
  <c r="J42" i="2"/>
  <c r="I42" i="2"/>
  <c r="H42" i="2"/>
  <c r="G42" i="2"/>
  <c r="F42" i="2"/>
  <c r="E42" i="2"/>
  <c r="D42" i="2"/>
  <c r="B42" i="2"/>
  <c r="A42" i="2"/>
  <c r="BE41" i="2"/>
  <c r="BD41" i="2"/>
  <c r="BC41" i="2"/>
  <c r="BB41" i="2"/>
  <c r="BA41" i="2"/>
  <c r="AZ41" i="2"/>
  <c r="AY41" i="2"/>
  <c r="AX41" i="2"/>
  <c r="AW41" i="2"/>
  <c r="AV41" i="2"/>
  <c r="AU41" i="2"/>
  <c r="AT41" i="2"/>
  <c r="AS41" i="2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L41" i="2"/>
  <c r="K41" i="2"/>
  <c r="J41" i="2"/>
  <c r="I41" i="2"/>
  <c r="H41" i="2"/>
  <c r="G41" i="2"/>
  <c r="F41" i="2"/>
  <c r="E41" i="2"/>
  <c r="D41" i="2"/>
  <c r="B41" i="2"/>
  <c r="A41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L40" i="2"/>
  <c r="K40" i="2"/>
  <c r="J40" i="2"/>
  <c r="I40" i="2"/>
  <c r="H40" i="2"/>
  <c r="G40" i="2"/>
  <c r="F40" i="2"/>
  <c r="E40" i="2"/>
  <c r="D40" i="2"/>
  <c r="B40" i="2"/>
  <c r="A40" i="2"/>
  <c r="BE39" i="2"/>
  <c r="BD39" i="2"/>
  <c r="BC39" i="2"/>
  <c r="BB39" i="2"/>
  <c r="BA39" i="2"/>
  <c r="AZ39" i="2"/>
  <c r="AY39" i="2"/>
  <c r="AX39" i="2"/>
  <c r="AW39" i="2"/>
  <c r="AV39" i="2"/>
  <c r="AU39" i="2"/>
  <c r="AT39" i="2"/>
  <c r="AS39" i="2"/>
  <c r="AR39" i="2"/>
  <c r="AQ39" i="2"/>
  <c r="AP39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L39" i="2"/>
  <c r="K39" i="2"/>
  <c r="J39" i="2"/>
  <c r="I39" i="2"/>
  <c r="H39" i="2"/>
  <c r="G39" i="2"/>
  <c r="F39" i="2"/>
  <c r="E39" i="2"/>
  <c r="D39" i="2"/>
  <c r="B39" i="2"/>
  <c r="A39" i="2"/>
  <c r="BE38" i="2"/>
  <c r="BD38" i="2"/>
  <c r="BC38" i="2"/>
  <c r="BB38" i="2"/>
  <c r="BA38" i="2"/>
  <c r="AZ38" i="2"/>
  <c r="AY38" i="2"/>
  <c r="AX38" i="2"/>
  <c r="AW38" i="2"/>
  <c r="AV38" i="2"/>
  <c r="AU38" i="2"/>
  <c r="AT38" i="2"/>
  <c r="AS38" i="2"/>
  <c r="AR38" i="2"/>
  <c r="AQ38" i="2"/>
  <c r="AP38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L38" i="2"/>
  <c r="K38" i="2"/>
  <c r="J38" i="2"/>
  <c r="I38" i="2"/>
  <c r="H38" i="2"/>
  <c r="G38" i="2"/>
  <c r="F38" i="2"/>
  <c r="E38" i="2"/>
  <c r="D38" i="2"/>
  <c r="B38" i="2"/>
  <c r="A38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L37" i="2"/>
  <c r="K37" i="2"/>
  <c r="J37" i="2"/>
  <c r="I37" i="2"/>
  <c r="H37" i="2"/>
  <c r="G37" i="2"/>
  <c r="F37" i="2"/>
  <c r="E37" i="2"/>
  <c r="D37" i="2"/>
  <c r="B37" i="2"/>
  <c r="A37" i="2"/>
  <c r="BE36" i="2"/>
  <c r="BD36" i="2"/>
  <c r="BC36" i="2"/>
  <c r="BB36" i="2"/>
  <c r="BA36" i="2"/>
  <c r="AZ36" i="2"/>
  <c r="AY36" i="2"/>
  <c r="AX36" i="2"/>
  <c r="AW36" i="2"/>
  <c r="AV36" i="2"/>
  <c r="AU36" i="2"/>
  <c r="AT36" i="2"/>
  <c r="AS36" i="2"/>
  <c r="AR36" i="2"/>
  <c r="AQ36" i="2"/>
  <c r="AP36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L36" i="2"/>
  <c r="K36" i="2"/>
  <c r="J36" i="2"/>
  <c r="I36" i="2"/>
  <c r="H36" i="2"/>
  <c r="G36" i="2"/>
  <c r="F36" i="2"/>
  <c r="E36" i="2"/>
  <c r="D36" i="2"/>
  <c r="B36" i="2"/>
  <c r="A36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L35" i="2"/>
  <c r="K35" i="2"/>
  <c r="J35" i="2"/>
  <c r="I35" i="2"/>
  <c r="H35" i="2"/>
  <c r="G35" i="2"/>
  <c r="F35" i="2"/>
  <c r="E35" i="2"/>
  <c r="D35" i="2"/>
  <c r="B35" i="2"/>
  <c r="A35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L34" i="2"/>
  <c r="K34" i="2"/>
  <c r="J34" i="2"/>
  <c r="I34" i="2"/>
  <c r="H34" i="2"/>
  <c r="G34" i="2"/>
  <c r="F34" i="2"/>
  <c r="E34" i="2"/>
  <c r="D34" i="2"/>
  <c r="B34" i="2"/>
  <c r="A34" i="2"/>
  <c r="BE33" i="2"/>
  <c r="BD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AP33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L33" i="2"/>
  <c r="K33" i="2"/>
  <c r="J33" i="2"/>
  <c r="I33" i="2"/>
  <c r="H33" i="2"/>
  <c r="G33" i="2"/>
  <c r="F33" i="2"/>
  <c r="E33" i="2"/>
  <c r="D33" i="2"/>
  <c r="B33" i="2"/>
  <c r="A33" i="2"/>
  <c r="BE32" i="2"/>
  <c r="BD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AP32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L32" i="2"/>
  <c r="K32" i="2"/>
  <c r="J32" i="2"/>
  <c r="I32" i="2"/>
  <c r="H32" i="2"/>
  <c r="G32" i="2"/>
  <c r="F32" i="2"/>
  <c r="E32" i="2"/>
  <c r="D32" i="2"/>
  <c r="B32" i="2"/>
  <c r="A32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L31" i="2"/>
  <c r="K31" i="2"/>
  <c r="J31" i="2"/>
  <c r="I31" i="2"/>
  <c r="H31" i="2"/>
  <c r="G31" i="2"/>
  <c r="F31" i="2"/>
  <c r="E31" i="2"/>
  <c r="D31" i="2"/>
  <c r="B31" i="2"/>
  <c r="A31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L30" i="2"/>
  <c r="K30" i="2"/>
  <c r="J30" i="2"/>
  <c r="I30" i="2"/>
  <c r="H30" i="2"/>
  <c r="G30" i="2"/>
  <c r="F30" i="2"/>
  <c r="E30" i="2"/>
  <c r="D30" i="2"/>
  <c r="B30" i="2"/>
  <c r="A30" i="2"/>
  <c r="BE29" i="2"/>
  <c r="BD29" i="2"/>
  <c r="BC29" i="2"/>
  <c r="BB29" i="2"/>
  <c r="BA29" i="2"/>
  <c r="AZ29" i="2"/>
  <c r="AY29" i="2"/>
  <c r="AX29" i="2"/>
  <c r="AW29" i="2"/>
  <c r="AV29" i="2"/>
  <c r="AU29" i="2"/>
  <c r="AT29" i="2"/>
  <c r="AS29" i="2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L29" i="2"/>
  <c r="K29" i="2"/>
  <c r="J29" i="2"/>
  <c r="I29" i="2"/>
  <c r="H29" i="2"/>
  <c r="G29" i="2"/>
  <c r="F29" i="2"/>
  <c r="E29" i="2"/>
  <c r="D29" i="2"/>
  <c r="B29" i="2"/>
  <c r="A29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L28" i="2"/>
  <c r="K28" i="2"/>
  <c r="J28" i="2"/>
  <c r="I28" i="2"/>
  <c r="H28" i="2"/>
  <c r="G28" i="2"/>
  <c r="F28" i="2"/>
  <c r="E28" i="2"/>
  <c r="D28" i="2"/>
  <c r="B28" i="2"/>
  <c r="A28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L27" i="2"/>
  <c r="K27" i="2"/>
  <c r="J27" i="2"/>
  <c r="I27" i="2"/>
  <c r="H27" i="2"/>
  <c r="G27" i="2"/>
  <c r="F27" i="2"/>
  <c r="E27" i="2"/>
  <c r="D27" i="2"/>
  <c r="B27" i="2"/>
  <c r="A27" i="2"/>
  <c r="BE26" i="2"/>
  <c r="BD26" i="2"/>
  <c r="BC26" i="2"/>
  <c r="BB26" i="2"/>
  <c r="BA26" i="2"/>
  <c r="AZ26" i="2"/>
  <c r="AY26" i="2"/>
  <c r="AX26" i="2"/>
  <c r="AW26" i="2"/>
  <c r="AV26" i="2"/>
  <c r="AU26" i="2"/>
  <c r="AT26" i="2"/>
  <c r="AS26" i="2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L26" i="2"/>
  <c r="K26" i="2"/>
  <c r="J26" i="2"/>
  <c r="I26" i="2"/>
  <c r="H26" i="2"/>
  <c r="G26" i="2"/>
  <c r="F26" i="2"/>
  <c r="E26" i="2"/>
  <c r="D26" i="2"/>
  <c r="B26" i="2"/>
  <c r="A26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L25" i="2"/>
  <c r="K25" i="2"/>
  <c r="J25" i="2"/>
  <c r="I25" i="2"/>
  <c r="H25" i="2"/>
  <c r="G25" i="2"/>
  <c r="F25" i="2"/>
  <c r="E25" i="2"/>
  <c r="D25" i="2"/>
  <c r="B25" i="2"/>
  <c r="A25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L24" i="2"/>
  <c r="K24" i="2"/>
  <c r="J24" i="2"/>
  <c r="I24" i="2"/>
  <c r="H24" i="2"/>
  <c r="G24" i="2"/>
  <c r="F24" i="2"/>
  <c r="E24" i="2"/>
  <c r="D24" i="2"/>
  <c r="B24" i="2"/>
  <c r="A24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L23" i="2"/>
  <c r="K23" i="2"/>
  <c r="J23" i="2"/>
  <c r="I23" i="2"/>
  <c r="H23" i="2"/>
  <c r="G23" i="2"/>
  <c r="F23" i="2"/>
  <c r="E23" i="2"/>
  <c r="D23" i="2"/>
  <c r="B23" i="2"/>
  <c r="A23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L22" i="2"/>
  <c r="K22" i="2"/>
  <c r="J22" i="2"/>
  <c r="I22" i="2"/>
  <c r="H22" i="2"/>
  <c r="G22" i="2"/>
  <c r="F22" i="2"/>
  <c r="E22" i="2"/>
  <c r="D22" i="2"/>
  <c r="B22" i="2"/>
  <c r="A22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L21" i="2"/>
  <c r="K21" i="2"/>
  <c r="J21" i="2"/>
  <c r="I21" i="2"/>
  <c r="H21" i="2"/>
  <c r="G21" i="2"/>
  <c r="F21" i="2"/>
  <c r="E21" i="2"/>
  <c r="D21" i="2"/>
  <c r="B21" i="2"/>
  <c r="A21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L20" i="2"/>
  <c r="K20" i="2"/>
  <c r="J20" i="2"/>
  <c r="I20" i="2"/>
  <c r="H20" i="2"/>
  <c r="G20" i="2"/>
  <c r="F20" i="2"/>
  <c r="E20" i="2"/>
  <c r="D20" i="2"/>
  <c r="B20" i="2"/>
  <c r="A20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L19" i="2"/>
  <c r="K19" i="2"/>
  <c r="J19" i="2"/>
  <c r="I19" i="2"/>
  <c r="H19" i="2"/>
  <c r="G19" i="2"/>
  <c r="F19" i="2"/>
  <c r="E19" i="2"/>
  <c r="D19" i="2"/>
  <c r="B19" i="2"/>
  <c r="A19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L18" i="2"/>
  <c r="K18" i="2"/>
  <c r="J18" i="2"/>
  <c r="I18" i="2"/>
  <c r="H18" i="2"/>
  <c r="G18" i="2"/>
  <c r="F18" i="2"/>
  <c r="E18" i="2"/>
  <c r="D18" i="2"/>
  <c r="B18" i="2"/>
  <c r="A18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L17" i="2"/>
  <c r="K17" i="2"/>
  <c r="J17" i="2"/>
  <c r="I17" i="2"/>
  <c r="H17" i="2"/>
  <c r="G17" i="2"/>
  <c r="F17" i="2"/>
  <c r="E17" i="2"/>
  <c r="D17" i="2"/>
  <c r="B17" i="2"/>
  <c r="A17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L16" i="2"/>
  <c r="K16" i="2"/>
  <c r="J16" i="2"/>
  <c r="I16" i="2"/>
  <c r="H16" i="2"/>
  <c r="G16" i="2"/>
  <c r="F16" i="2"/>
  <c r="E16" i="2"/>
  <c r="D16" i="2"/>
  <c r="B16" i="2"/>
  <c r="A16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L15" i="2"/>
  <c r="K15" i="2"/>
  <c r="J15" i="2"/>
  <c r="I15" i="2"/>
  <c r="H15" i="2"/>
  <c r="G15" i="2"/>
  <c r="F15" i="2"/>
  <c r="E15" i="2"/>
  <c r="D15" i="2"/>
  <c r="B15" i="2"/>
  <c r="A15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L14" i="2"/>
  <c r="K14" i="2"/>
  <c r="J14" i="2"/>
  <c r="I14" i="2"/>
  <c r="H14" i="2"/>
  <c r="G14" i="2"/>
  <c r="F14" i="2"/>
  <c r="E14" i="2"/>
  <c r="D14" i="2"/>
  <c r="B14" i="2"/>
  <c r="A14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L13" i="2"/>
  <c r="K13" i="2"/>
  <c r="J13" i="2"/>
  <c r="I13" i="2"/>
  <c r="H13" i="2"/>
  <c r="G13" i="2"/>
  <c r="F13" i="2"/>
  <c r="E13" i="2"/>
  <c r="D13" i="2"/>
  <c r="B13" i="2"/>
  <c r="A13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L12" i="2"/>
  <c r="K12" i="2"/>
  <c r="J12" i="2"/>
  <c r="I12" i="2"/>
  <c r="H12" i="2"/>
  <c r="G12" i="2"/>
  <c r="F12" i="2"/>
  <c r="E12" i="2"/>
  <c r="D12" i="2"/>
  <c r="B12" i="2"/>
  <c r="A12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L11" i="2"/>
  <c r="K11" i="2"/>
  <c r="J11" i="2"/>
  <c r="I11" i="2"/>
  <c r="H11" i="2"/>
  <c r="G11" i="2"/>
  <c r="F11" i="2"/>
  <c r="E11" i="2"/>
  <c r="D11" i="2"/>
  <c r="B11" i="2"/>
  <c r="A11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L10" i="2"/>
  <c r="K10" i="2"/>
  <c r="J10" i="2"/>
  <c r="I10" i="2"/>
  <c r="H10" i="2"/>
  <c r="G10" i="2"/>
  <c r="F10" i="2"/>
  <c r="E10" i="2"/>
  <c r="D10" i="2"/>
  <c r="B10" i="2"/>
  <c r="A10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L9" i="2"/>
  <c r="K9" i="2"/>
  <c r="J9" i="2"/>
  <c r="I9" i="2"/>
  <c r="H9" i="2"/>
  <c r="G9" i="2"/>
  <c r="F9" i="2"/>
  <c r="E9" i="2"/>
  <c r="D9" i="2"/>
  <c r="B9" i="2"/>
  <c r="A9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L8" i="2"/>
  <c r="K8" i="2"/>
  <c r="J8" i="2"/>
  <c r="I8" i="2"/>
  <c r="H8" i="2"/>
  <c r="G8" i="2"/>
  <c r="F8" i="2"/>
  <c r="E8" i="2"/>
  <c r="D8" i="2"/>
  <c r="B8" i="2"/>
  <c r="A8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L7" i="2"/>
  <c r="K7" i="2"/>
  <c r="J7" i="2"/>
  <c r="I7" i="2"/>
  <c r="H7" i="2"/>
  <c r="G7" i="2"/>
  <c r="F7" i="2"/>
  <c r="E7" i="2"/>
  <c r="D7" i="2"/>
  <c r="B7" i="2"/>
  <c r="A7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L6" i="2"/>
  <c r="K6" i="2"/>
  <c r="J6" i="2"/>
  <c r="I6" i="2"/>
  <c r="H6" i="2"/>
  <c r="G6" i="2"/>
  <c r="F6" i="2"/>
  <c r="E6" i="2"/>
  <c r="D6" i="2"/>
  <c r="B6" i="2"/>
  <c r="A6" i="2"/>
  <c r="BE5" i="2"/>
  <c r="BD5" i="2"/>
  <c r="BC5" i="2"/>
  <c r="BB5" i="2"/>
  <c r="BA5" i="2"/>
  <c r="AZ5" i="2"/>
  <c r="AY5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L5" i="2"/>
  <c r="K5" i="2"/>
  <c r="J5" i="2"/>
  <c r="I5" i="2"/>
  <c r="H5" i="2"/>
  <c r="G5" i="2"/>
  <c r="F5" i="2"/>
  <c r="E5" i="2"/>
  <c r="D5" i="2"/>
  <c r="B5" i="2"/>
  <c r="A5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L4" i="2"/>
  <c r="K4" i="2"/>
  <c r="J4" i="2"/>
  <c r="I4" i="2"/>
  <c r="H4" i="2"/>
  <c r="G4" i="2"/>
  <c r="F4" i="2"/>
  <c r="E4" i="2"/>
  <c r="D4" i="2"/>
  <c r="B4" i="2"/>
  <c r="A4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L3" i="2"/>
  <c r="K3" i="2"/>
  <c r="J3" i="2"/>
  <c r="I3" i="2"/>
  <c r="H3" i="2"/>
  <c r="G3" i="2"/>
  <c r="F3" i="2"/>
  <c r="E3" i="2"/>
  <c r="D3" i="2"/>
  <c r="B3" i="2"/>
  <c r="A3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L2" i="2"/>
  <c r="K2" i="2"/>
  <c r="J2" i="2"/>
  <c r="I2" i="2"/>
  <c r="H2" i="2"/>
  <c r="G2" i="2"/>
  <c r="F2" i="2"/>
  <c r="E2" i="2"/>
  <c r="D2" i="2"/>
  <c r="B2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L1" i="2"/>
  <c r="K1" i="2"/>
  <c r="J1" i="2"/>
  <c r="I1" i="2"/>
  <c r="H1" i="2"/>
  <c r="G1" i="2"/>
  <c r="F1" i="2"/>
  <c r="E1" i="2"/>
  <c r="D1" i="2"/>
  <c r="B1" i="2"/>
  <c r="A1" i="2"/>
  <c r="E13" i="1"/>
  <c r="N24" i="1"/>
  <c r="N27" i="1" s="1"/>
  <c r="N26" i="1"/>
  <c r="N29" i="1" s="1"/>
  <c r="N25" i="1"/>
  <c r="N28" i="1" s="1"/>
  <c r="E5" i="1" l="1"/>
  <c r="D20" i="1"/>
  <c r="D19" i="1"/>
  <c r="D18" i="1"/>
  <c r="N30" i="1"/>
  <c r="N23" i="1"/>
  <c r="F39" i="1" s="1"/>
  <c r="A44" i="1"/>
  <c r="A39" i="1"/>
  <c r="F22" i="1" l="1"/>
  <c r="G13" i="1"/>
  <c r="E16" i="1"/>
</calcChain>
</file>

<file path=xl/sharedStrings.xml><?xml version="1.0" encoding="utf-8"?>
<sst xmlns="http://schemas.openxmlformats.org/spreadsheetml/2006/main" count="25" uniqueCount="23">
  <si>
    <t>Генеральному директору</t>
  </si>
  <si>
    <t>Москвитину Александру Семеновичу</t>
  </si>
  <si>
    <t>Ф.И.О. руководителя</t>
  </si>
  <si>
    <t>от кого (должность работника)</t>
  </si>
  <si>
    <t>Ф.И.О. работника</t>
  </si>
  <si>
    <t>Служебная записка</t>
  </si>
  <si>
    <t xml:space="preserve">от </t>
  </si>
  <si>
    <t>№</t>
  </si>
  <si>
    <t>Прошу Вас перечислить денежные средства в подотчет на мой расчетный счет в</t>
  </si>
  <si>
    <t>размере</t>
  </si>
  <si>
    <t>рублей на срок до:</t>
  </si>
  <si>
    <t>Реквизиты расчетного счета:</t>
  </si>
  <si>
    <t>Название банка:</t>
  </si>
  <si>
    <t>БИК:</t>
  </si>
  <si>
    <t xml:space="preserve">Авансовый отчет обязуюсь предоставить не позднее </t>
  </si>
  <si>
    <t>Статья затрат:</t>
  </si>
  <si>
    <t>(подпись)</t>
  </si>
  <si>
    <t>(ФИО)</t>
  </si>
  <si>
    <t>ВЫДАТЬ:</t>
  </si>
  <si>
    <t>Москвитин А.С.</t>
  </si>
  <si>
    <t>Прочие затраты</t>
  </si>
  <si>
    <t>Аммаев Роман Магомедович  (сроч.)</t>
  </si>
  <si>
    <t>оплата крана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</si>
</sst>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2"/>
      <name val="Arial"/>
      <family val="2"/>
      <charset val="204"/>
    </font>
    <font>
      <sz val="12"/>
      <name val="Arial"/>
      <family val="2"/>
      <charset val="204"/>
    </font>
    <font>
      <b/>
      <sz val="14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14" fontId="7" fillId="2" borderId="7" xfId="0" applyNumberFormat="1" applyFont="1" applyFill="1" applyBorder="1" applyAlignment="1" applyProtection="1">
      <alignment horizontal="center"/>
      <protection hidden="1"/>
    </xf>
    <xf numFmtId="14" fontId="9" fillId="2" borderId="3" xfId="0" applyNumberFormat="1" applyFont="1" applyFill="1" applyBorder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2" fillId="2" borderId="0" xfId="0" applyFont="1" applyFill="1" applyProtection="1">
      <protection hidden="1"/>
    </xf>
    <xf numFmtId="0" fontId="0" fillId="0" borderId="0" xfId="0" applyProtection="1">
      <protection hidden="1"/>
    </xf>
    <xf numFmtId="0" fontId="8" fillId="0" borderId="0" xfId="0" applyFont="1" applyProtection="1"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5" fillId="2" borderId="2" xfId="0" applyFont="1" applyFill="1" applyBorder="1" applyAlignment="1" applyProtection="1">
      <alignment horizontal="center"/>
      <protection hidden="1"/>
    </xf>
    <xf numFmtId="0" fontId="5" fillId="2" borderId="4" xfId="0" applyFont="1" applyFill="1" applyBorder="1" applyAlignment="1" applyProtection="1">
      <alignment horizontal="center"/>
      <protection hidden="1"/>
    </xf>
    <xf numFmtId="0" fontId="5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Protection="1">
      <protection hidden="1"/>
    </xf>
    <xf numFmtId="0" fontId="2" fillId="3" borderId="7" xfId="0" applyFont="1" applyFill="1" applyBorder="1" applyAlignment="1" applyProtection="1">
      <alignment horizontal="center"/>
      <protection hidden="1"/>
    </xf>
    <xf numFmtId="14" fontId="2" fillId="2" borderId="0" xfId="0" applyNumberFormat="1" applyFont="1" applyFill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7" fillId="2" borderId="1" xfId="0" applyFont="1" applyFill="1" applyBorder="1" applyProtection="1">
      <protection hidden="1"/>
    </xf>
    <xf numFmtId="0" fontId="7" fillId="2" borderId="0" xfId="0" applyFont="1" applyFill="1" applyProtection="1">
      <protection hidden="1"/>
    </xf>
    <xf numFmtId="0" fontId="7" fillId="2" borderId="7" xfId="0" applyFont="1" applyFill="1" applyBorder="1" applyProtection="1">
      <protection hidden="1"/>
    </xf>
    <xf numFmtId="0" fontId="3" fillId="2" borderId="0" xfId="0" applyFont="1" applyFill="1" applyAlignment="1" applyProtection="1">
      <alignment horizontal="right"/>
      <protection hidden="1"/>
    </xf>
    <xf numFmtId="0" fontId="2" fillId="2" borderId="0" xfId="0" applyFont="1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right" wrapText="1"/>
      <protection hidden="1"/>
    </xf>
    <xf numFmtId="0" fontId="4" fillId="2" borderId="1" xfId="0" applyFont="1" applyFill="1" applyBorder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/>
      <protection hidden="1"/>
    </xf>
    <xf numFmtId="0" fontId="5" fillId="2" borderId="2" xfId="0" applyFont="1" applyFill="1" applyBorder="1" applyAlignment="1" applyProtection="1">
      <alignment horizontal="center"/>
      <protection hidden="1"/>
    </xf>
    <xf numFmtId="0" fontId="6" fillId="2" borderId="5" xfId="0" applyFont="1" applyFill="1" applyBorder="1" applyAlignment="1" applyProtection="1">
      <alignment horizontal="center" vertical="center"/>
      <protection hidden="1"/>
    </xf>
    <xf numFmtId="0" fontId="6" fillId="2" borderId="6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14" fontId="7" fillId="2" borderId="7" xfId="0" applyNumberFormat="1" applyFont="1" applyFill="1" applyBorder="1" applyAlignment="1" applyProtection="1">
      <alignment horizontal="center"/>
      <protection hidden="1"/>
    </xf>
    <xf numFmtId="0" fontId="7" fillId="2" borderId="7" xfId="0" applyFont="1" applyFill="1" applyBorder="1" applyAlignment="1" applyProtection="1">
      <alignment horizontal="center"/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7" fillId="3" borderId="7" xfId="0" applyFont="1" applyFill="1" applyBorder="1" applyProtection="1">
      <protection hidden="1"/>
    </xf>
    <xf numFmtId="164" fontId="7" fillId="2" borderId="0" xfId="0" applyNumberFormat="1" applyFont="1" applyFill="1" applyAlignment="1" applyProtection="1">
      <alignment horizontal="center"/>
      <protection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Protection="1">
      <protection hidden="1"/>
    </xf>
    <xf numFmtId="0" fontId="7" fillId="3" borderId="8" xfId="0" applyFont="1" applyFill="1" applyBorder="1" applyAlignment="1" applyProtection="1">
      <alignment horizontal="left" vertical="center" wrapText="1"/>
      <protection hidden="1"/>
    </xf>
    <xf numFmtId="0" fontId="7" fillId="3" borderId="9" xfId="0" applyFont="1" applyFill="1" applyBorder="1" applyAlignment="1" applyProtection="1">
      <alignment horizontal="left" vertical="center" wrapText="1"/>
      <protection hidden="1"/>
    </xf>
    <xf numFmtId="0" fontId="7" fillId="3" borderId="10" xfId="0" applyFont="1" applyFill="1" applyBorder="1" applyAlignment="1" applyProtection="1">
      <alignment horizontal="left" vertical="center" wrapText="1"/>
      <protection hidden="1"/>
    </xf>
    <xf numFmtId="0" fontId="7" fillId="3" borderId="11" xfId="0" applyFont="1" applyFill="1" applyBorder="1" applyAlignment="1" applyProtection="1">
      <alignment horizontal="left" vertical="center" wrapText="1"/>
      <protection hidden="1"/>
    </xf>
    <xf numFmtId="0" fontId="7" fillId="3" borderId="0" xfId="0" applyFont="1" applyFill="1" applyBorder="1" applyAlignment="1" applyProtection="1">
      <alignment horizontal="left" vertical="center" wrapText="1"/>
      <protection hidden="1"/>
    </xf>
    <xf numFmtId="0" fontId="7" fillId="3" borderId="12" xfId="0" applyFont="1" applyFill="1" applyBorder="1" applyAlignment="1" applyProtection="1">
      <alignment horizontal="left" vertical="center" wrapText="1"/>
      <protection hidden="1"/>
    </xf>
    <xf numFmtId="0" fontId="7" fillId="3" borderId="13" xfId="0" applyFont="1" applyFill="1" applyBorder="1" applyAlignment="1" applyProtection="1">
      <alignment horizontal="left" vertical="center" wrapText="1"/>
      <protection hidden="1"/>
    </xf>
    <xf numFmtId="0" fontId="7" fillId="3" borderId="1" xfId="0" applyFont="1" applyFill="1" applyBorder="1" applyAlignment="1" applyProtection="1">
      <alignment horizontal="left" vertical="center" wrapText="1"/>
      <protection hidden="1"/>
    </xf>
    <xf numFmtId="0" fontId="7" fillId="3" borderId="14" xfId="0" applyFont="1" applyFill="1" applyBorder="1" applyAlignment="1" applyProtection="1">
      <alignment horizontal="left" vertical="center" wrapText="1"/>
      <protection hidden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245268</xdr:colOff>
      <xdr:row>1</xdr:row>
      <xdr:rowOff>9526</xdr:rowOff>
    </xdr:from>
    <xdr:to>
      <xdr:col>3</xdr:col>
      <xdr:colOff>381431</xdr:colOff>
      <xdr:row>4</xdr:row>
      <xdr:rowOff>140493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7F02524C-8B79-4593-BF1B-3A54CB984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/>
      </xdr:blipFill>
      <xdr:spPr bwMode="auto">
        <a:xfrm>
          <a:off x="245268" y="209551"/>
          <a:ext cx="2117363" cy="702467"/>
        </a:xfrm>
        <a:prstGeom prst="rect">
          <a:avLst/>
        </a:prstGeom>
        <a:noFill/>
      </xdr:spPr>
    </xdr:pic>
    <xdr:clientData/>
  </xdr:twoCellAnchor>
  <xdr:twoCellAnchor>
    <xdr:from>
      <xdr:col>9</xdr:col>
      <xdr:colOff>342900</xdr:colOff>
      <xdr:row>8</xdr:row>
      <xdr:rowOff>200024</xdr:rowOff>
    </xdr:from>
    <xdr:to>
      <xdr:col>13</xdr:col>
      <xdr:colOff>180975</xdr:colOff>
      <xdr:row>13</xdr:row>
      <xdr:rowOff>47624</xdr:rowOff>
    </xdr:to>
    <xdr:sp macro="[0]!Форма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9A420B67-3897-46AE-9831-B87A681EC492}"/>
            </a:ext>
          </a:extLst>
        </xdr:cNvPr>
        <xdr:cNvSpPr/>
      </xdr:nvSpPr>
      <xdr:spPr>
        <a:xfrm>
          <a:off x="6391275" y="1743074"/>
          <a:ext cx="2276475" cy="8667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latin typeface="Times New Roman" panose="02020603050405020304" pitchFamily="18" charset="0"/>
              <a:cs typeface="Times New Roman" panose="02020603050405020304" pitchFamily="18" charset="0"/>
            </a:rPr>
            <a:t>Нажмите эту кнопку, чтобы сформировать заявку на деньги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8;&#1085;&#1085;&#1072;/YandexDisk-NiferGirl/&#1055;&#1061;&#1048;%202022/000%20&#1044;&#1086;&#1085;&#1086;&#108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DSheet"/>
      <sheetName val="Лист1"/>
      <sheetName val="Лист2"/>
      <sheetName val="000 Донор"/>
    </sheetNames>
    <sheetDataSet>
      <sheetData sheetId="0">
        <row r="2">
          <cell r="A2" t="str">
            <v>Абдуллаев Рустам Магомедович</v>
          </cell>
          <cell r="B2" t="str">
            <v>Мастер</v>
          </cell>
          <cell r="C2">
            <v>34502</v>
          </cell>
          <cell r="D2" t="str">
            <v>РОССИЯ</v>
          </cell>
          <cell r="E2" t="str">
            <v>051102250606</v>
          </cell>
          <cell r="F2" t="str">
            <v>171-090-985 64</v>
          </cell>
          <cell r="G2" t="str">
            <v>Паспорт гражданина РФ</v>
          </cell>
          <cell r="H2" t="str">
            <v>Серия</v>
          </cell>
          <cell r="I2" t="str">
            <v>82 14</v>
          </cell>
          <cell r="J2" t="str">
            <v>Номер</v>
          </cell>
          <cell r="K2">
            <v>545326</v>
          </cell>
          <cell r="L2" t="str">
            <v>Выдан</v>
          </cell>
          <cell r="M2" t="str">
            <v>16.09.2014</v>
          </cell>
          <cell r="N2" t="str">
            <v>ТП УФМС России по Респ. Дагестан в Дахадаевском районе</v>
          </cell>
          <cell r="O2" t="str">
            <v>050-023</v>
          </cell>
          <cell r="P2" t="str">
            <v>Серия 82 14 Номер 545326,Выдан 16.09.2014 ТП УФМС России по Респ. Дагестан в Дахадаевском районе</v>
          </cell>
          <cell r="Q2" t="str">
            <v>368581, Дагестан Респ, Дахадаевский р-н, Ираки с</v>
          </cell>
          <cell r="R2" t="str">
            <v>368581, Дагестан Респ, Дахадаевский р-н, Ираки с</v>
          </cell>
          <cell r="S2">
            <v>0</v>
          </cell>
          <cell r="T2" t="str">
            <v>0000000162</v>
          </cell>
          <cell r="U2">
            <v>176</v>
          </cell>
          <cell r="V2" t="str">
            <v>56-58</v>
          </cell>
          <cell r="W2">
            <v>43</v>
          </cell>
          <cell r="X2">
            <v>0</v>
          </cell>
          <cell r="Y2">
            <v>0</v>
          </cell>
          <cell r="Z2">
            <v>43313</v>
          </cell>
          <cell r="AA2" t="str">
            <v>01-08/18-Сем</v>
          </cell>
          <cell r="AB2">
            <v>0</v>
          </cell>
          <cell r="AC2">
            <v>1</v>
          </cell>
          <cell r="AD2">
            <v>44518</v>
          </cell>
          <cell r="AE2">
            <v>1</v>
          </cell>
          <cell r="AF2">
            <v>44431</v>
          </cell>
          <cell r="AG2">
            <v>1</v>
          </cell>
          <cell r="AH2">
            <v>44539</v>
          </cell>
          <cell r="AI2" t="str">
            <v>2 группа</v>
          </cell>
          <cell r="AJ2">
            <v>1</v>
          </cell>
          <cell r="AK2">
            <v>44529</v>
          </cell>
          <cell r="AL2" t="str">
            <v>не надо</v>
          </cell>
          <cell r="AM2" t="str">
            <v>не надо</v>
          </cell>
          <cell r="AN2">
            <v>44531</v>
          </cell>
          <cell r="AO2" t="str">
            <v>не надо</v>
          </cell>
          <cell r="AP2" t="str">
            <v>не надо</v>
          </cell>
          <cell r="AQ2" t="str">
            <v>не надо</v>
          </cell>
          <cell r="AR2" t="str">
            <v>не надо</v>
          </cell>
          <cell r="AS2" t="str">
            <v>не надо</v>
          </cell>
          <cell r="AT2">
            <v>1</v>
          </cell>
          <cell r="AU2" t="str">
            <v>Стропальщик 5 разряда, 10.11.2021, Кровельщик 5 разряда, протокол от 23.09.2019 №342 ЭК</v>
          </cell>
          <cell r="AV2">
            <v>44525</v>
          </cell>
          <cell r="AW2" t="str">
            <v>Кровельщик 5 разряда, протокол от 23.09.2019 №342 ЭК</v>
          </cell>
          <cell r="AX2">
            <v>44241</v>
          </cell>
          <cell r="AY2">
            <v>0</v>
          </cell>
          <cell r="AZ2">
            <v>0</v>
          </cell>
          <cell r="BA2" t="str">
            <v>8-988-752-43-88</v>
          </cell>
          <cell r="BB2">
            <v>0</v>
          </cell>
          <cell r="BC2" t="str">
            <v>40817810038180733410</v>
          </cell>
          <cell r="BD2" t="str">
            <v>ПАО СБЕРБАНК</v>
          </cell>
          <cell r="BE2" t="str">
            <v>044525225</v>
          </cell>
        </row>
        <row r="3">
          <cell r="A3" t="str">
            <v>Айбатов Жанибек Отепбергенович</v>
          </cell>
          <cell r="B3" t="str">
            <v>Подсобный рабочий</v>
          </cell>
          <cell r="C3">
            <v>31964</v>
          </cell>
          <cell r="D3" t="str">
            <v>УЗБЕКИСТАН</v>
          </cell>
          <cell r="E3" t="str">
            <v>971802040577</v>
          </cell>
          <cell r="F3" t="str">
            <v>213-550-540 24</v>
          </cell>
          <cell r="G3" t="str">
            <v>Иностранный паспорт</v>
          </cell>
          <cell r="H3" t="str">
            <v>Серия</v>
          </cell>
          <cell r="I3" t="str">
            <v>FK</v>
          </cell>
          <cell r="J3" t="str">
            <v>Номер</v>
          </cell>
          <cell r="K3" t="str">
            <v>0160445</v>
          </cell>
          <cell r="L3" t="str">
            <v>Выдан</v>
          </cell>
          <cell r="M3" t="str">
            <v>08.06.2021</v>
          </cell>
          <cell r="N3" t="str">
            <v>МВД 35218</v>
          </cell>
          <cell r="O3">
            <v>0</v>
          </cell>
          <cell r="P3" t="str">
            <v>Серия FK Номер 0160445,Выдан 08.06.2021 МВД 35218</v>
          </cell>
          <cell r="Q3" t="str">
            <v>РОССИЯ, 107113, Москва г, ул Сокольнический Вал, д. 1Ж, стр. 4</v>
          </cell>
          <cell r="R3" t="str">
            <v>РОССИЯ, 107113, Москва г, ул Сокольнический Вал, д. 1Ж, стр. 4</v>
          </cell>
          <cell r="S3" t="str">
            <v>Патент: серия 77 №2104309189 16.09.2021 Отдел внешней трудовой миграции УВМ ГУ МВД России по Москве</v>
          </cell>
          <cell r="T3" t="str">
            <v>00200</v>
          </cell>
          <cell r="U3">
            <v>170</v>
          </cell>
          <cell r="V3" t="str">
            <v>46/48</v>
          </cell>
          <cell r="W3">
            <v>41</v>
          </cell>
          <cell r="X3">
            <v>0</v>
          </cell>
          <cell r="Y3">
            <v>0</v>
          </cell>
          <cell r="Z3" t="str">
            <v>23.09.2021</v>
          </cell>
          <cell r="AA3" t="str">
            <v>23/09/3_2021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 t="str">
            <v>не надо</v>
          </cell>
          <cell r="AH3" t="str">
            <v>не надо</v>
          </cell>
          <cell r="AI3" t="str">
            <v>не надо</v>
          </cell>
          <cell r="AJ3">
            <v>0</v>
          </cell>
          <cell r="AK3">
            <v>0</v>
          </cell>
          <cell r="AL3" t="str">
            <v>не надо</v>
          </cell>
          <cell r="AM3" t="str">
            <v>не надо</v>
          </cell>
          <cell r="AN3" t="str">
            <v>не надо</v>
          </cell>
          <cell r="AO3" t="str">
            <v>не надо</v>
          </cell>
          <cell r="AP3" t="str">
            <v>не надо</v>
          </cell>
          <cell r="AQ3" t="str">
            <v>не надо</v>
          </cell>
          <cell r="AR3" t="str">
            <v>не надо</v>
          </cell>
          <cell r="AS3" t="str">
            <v>не надо</v>
          </cell>
          <cell r="AT3" t="str">
            <v>не надо</v>
          </cell>
          <cell r="AU3" t="str">
            <v>не надо</v>
          </cell>
          <cell r="AV3" t="str">
            <v>не надо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 t="str">
            <v>8-926-342-96-78</v>
          </cell>
          <cell r="BB3">
            <v>0</v>
          </cell>
          <cell r="BC3" t="str">
            <v>40820810940011462168</v>
          </cell>
          <cell r="BD3" t="str">
            <v>ПАО СБЕРБАНК</v>
          </cell>
          <cell r="BE3" t="str">
            <v>044525225</v>
          </cell>
        </row>
        <row r="4">
          <cell r="A4" t="str">
            <v>Аммаев Роман Магомедович  (сроч.)</v>
          </cell>
          <cell r="B4" t="str">
            <v>Производитель работ</v>
          </cell>
          <cell r="C4">
            <v>29474</v>
          </cell>
          <cell r="D4" t="str">
            <v>РОССИЯ</v>
          </cell>
          <cell r="E4" t="str">
            <v>262411933603</v>
          </cell>
          <cell r="F4" t="str">
            <v>156-513-784 78</v>
          </cell>
          <cell r="G4" t="str">
            <v>Паспорт гражданина РФ</v>
          </cell>
          <cell r="H4" t="str">
            <v>Серия</v>
          </cell>
          <cell r="I4" t="str">
            <v>82 03</v>
          </cell>
          <cell r="J4" t="str">
            <v>Номер</v>
          </cell>
          <cell r="K4" t="str">
            <v>136625</v>
          </cell>
          <cell r="L4" t="str">
            <v>Выдан</v>
          </cell>
          <cell r="M4" t="str">
            <v>06.03.2003</v>
          </cell>
          <cell r="N4" t="str">
            <v>Кочубейским отделением милиции Ресбулики Дагестан</v>
          </cell>
          <cell r="O4" t="str">
            <v>053-004</v>
          </cell>
          <cell r="P4" t="str">
            <v>Серия 82 03 Номер 136625,Выдан 06.03.2003 Кочубейским отделением милиции Ресбулики Дагестан</v>
          </cell>
          <cell r="Q4" t="str">
            <v>357973, Ставропольский край, Левокумский р-н, Урожайное с, Пролетарская ул, дом № 72</v>
          </cell>
          <cell r="R4" t="str">
            <v>357973, Ставропольский край, Левокумский р-н, Урожайное с, Пролетарская ул, дом № 72</v>
          </cell>
          <cell r="S4">
            <v>0</v>
          </cell>
          <cell r="T4" t="str">
            <v>0000000105</v>
          </cell>
          <cell r="U4">
            <v>182</v>
          </cell>
          <cell r="V4" t="str">
            <v>52-54</v>
          </cell>
          <cell r="W4">
            <v>44</v>
          </cell>
          <cell r="X4">
            <v>0</v>
          </cell>
          <cell r="Y4">
            <v>0</v>
          </cell>
          <cell r="Z4" t="str">
            <v>03.07.2017</v>
          </cell>
          <cell r="AA4" t="str">
            <v>ТХ-82</v>
          </cell>
          <cell r="AB4">
            <v>0</v>
          </cell>
          <cell r="AC4">
            <v>1</v>
          </cell>
          <cell r="AD4">
            <v>44518</v>
          </cell>
          <cell r="AE4">
            <v>1</v>
          </cell>
          <cell r="AF4">
            <v>44431</v>
          </cell>
          <cell r="AG4">
            <v>1</v>
          </cell>
          <cell r="AH4">
            <v>44539</v>
          </cell>
          <cell r="AI4" t="str">
            <v>3 группа</v>
          </cell>
          <cell r="AJ4">
            <v>1</v>
          </cell>
          <cell r="AK4">
            <v>44365</v>
          </cell>
          <cell r="AL4" t="str">
            <v>не надо</v>
          </cell>
          <cell r="AM4" t="str">
            <v>не надо</v>
          </cell>
          <cell r="AN4">
            <v>44531</v>
          </cell>
          <cell r="AO4" t="str">
            <v>не надо</v>
          </cell>
          <cell r="AP4" t="str">
            <v>не надо</v>
          </cell>
          <cell r="AQ4" t="str">
            <v>не надо</v>
          </cell>
          <cell r="AR4" t="str">
            <v>не надо</v>
          </cell>
          <cell r="AS4" t="str">
            <v>не надо</v>
          </cell>
          <cell r="AT4">
            <v>1</v>
          </cell>
          <cell r="AU4" t="str">
            <v>Стропальщик 5р, 02.08.2021, Кровельщик 5 разряда, протокол от 23.09.2019 №342 ЭК</v>
          </cell>
          <cell r="AV4">
            <v>44525</v>
          </cell>
          <cell r="AW4" t="str">
            <v>Кровельщик 5 разряда, протокол от 23.09.2019 №342 ЭК</v>
          </cell>
          <cell r="AX4">
            <v>44241</v>
          </cell>
          <cell r="AY4">
            <v>0</v>
          </cell>
          <cell r="AZ4">
            <v>0</v>
          </cell>
          <cell r="BA4" t="str">
            <v xml:space="preserve">8-985-159-46-08  </v>
          </cell>
          <cell r="BB4" t="str">
            <v>Ammaevrm@gmail.com</v>
          </cell>
          <cell r="BC4" t="str">
            <v>40817810340010519382</v>
          </cell>
          <cell r="BD4" t="str">
            <v>ПАО СБЕРБАНК</v>
          </cell>
          <cell r="BE4" t="str">
            <v>044525225</v>
          </cell>
        </row>
        <row r="5">
          <cell r="A5" t="str">
            <v>Афанасьев Олег Михайлович</v>
          </cell>
          <cell r="B5" t="str">
            <v>Кровельщик</v>
          </cell>
          <cell r="C5" t="str">
            <v>11.04.1984</v>
          </cell>
          <cell r="D5" t="str">
            <v>БЕЛАРУСЬ</v>
          </cell>
          <cell r="E5" t="str">
            <v>770877292976</v>
          </cell>
          <cell r="F5" t="str">
            <v>205-700-658 30</v>
          </cell>
          <cell r="G5" t="str">
            <v>Иностранный паспорт</v>
          </cell>
          <cell r="H5" t="str">
            <v>Серия</v>
          </cell>
          <cell r="I5" t="str">
            <v>КВ</v>
          </cell>
          <cell r="J5" t="str">
            <v>Номер</v>
          </cell>
          <cell r="K5" t="str">
            <v>1975502</v>
          </cell>
          <cell r="L5" t="str">
            <v>Выдан</v>
          </cell>
          <cell r="M5" t="str">
            <v>26.08.2013</v>
          </cell>
          <cell r="N5" t="str">
            <v>ЧАУССКИЙ РОВД МОГИЛЕВСКОЙ ОБЛАСТИ</v>
          </cell>
          <cell r="O5">
            <v>0</v>
          </cell>
          <cell r="P5" t="str">
            <v>Серия КВ Номер 1975502,Выдан 26.08.2013 ЧАУССКИЙ РОВД МОГИЛЕВСКОЙ ОБЛАСТИ</v>
          </cell>
          <cell r="Q5" t="str">
            <v>Беларусь,Могилевская область, д. Благовичи, ул. Заозерная д.8</v>
          </cell>
          <cell r="R5" t="str">
            <v>г.Одинцово</v>
          </cell>
          <cell r="S5">
            <v>0</v>
          </cell>
          <cell r="T5" t="str">
            <v>00171</v>
          </cell>
          <cell r="U5">
            <v>170</v>
          </cell>
          <cell r="V5" t="str">
            <v>46-48</v>
          </cell>
          <cell r="W5">
            <v>43</v>
          </cell>
          <cell r="X5">
            <v>0</v>
          </cell>
          <cell r="Y5">
            <v>0</v>
          </cell>
          <cell r="Z5" t="str">
            <v>23.07.2021</v>
          </cell>
          <cell r="AA5" t="str">
            <v>23/07/01_2021</v>
          </cell>
          <cell r="AB5">
            <v>0</v>
          </cell>
          <cell r="AC5">
            <v>1</v>
          </cell>
          <cell r="AD5">
            <v>44373</v>
          </cell>
          <cell r="AE5">
            <v>0</v>
          </cell>
          <cell r="AF5">
            <v>0</v>
          </cell>
          <cell r="AG5">
            <v>1</v>
          </cell>
          <cell r="AH5">
            <v>44539</v>
          </cell>
          <cell r="AI5" t="str">
            <v>1 группа</v>
          </cell>
          <cell r="AJ5">
            <v>1</v>
          </cell>
          <cell r="AK5">
            <v>44373</v>
          </cell>
          <cell r="AL5" t="str">
            <v>не надо</v>
          </cell>
          <cell r="AM5" t="str">
            <v>не надо</v>
          </cell>
          <cell r="AN5" t="str">
            <v>не надо</v>
          </cell>
          <cell r="AO5" t="str">
            <v>не надо</v>
          </cell>
          <cell r="AP5" t="str">
            <v>не надо</v>
          </cell>
          <cell r="AQ5" t="str">
            <v>не надо</v>
          </cell>
          <cell r="AR5" t="str">
            <v>не надо</v>
          </cell>
          <cell r="AS5" t="str">
            <v>не надо</v>
          </cell>
          <cell r="AT5">
            <v>0</v>
          </cell>
          <cell r="AU5" t="str">
            <v>нет,штат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 t="str">
            <v>8-991-754-15-32</v>
          </cell>
          <cell r="BB5">
            <v>0</v>
          </cell>
          <cell r="BC5" t="str">
            <v>40820810740010325820</v>
          </cell>
          <cell r="BD5" t="str">
            <v>ПАО СБЕРБАНК</v>
          </cell>
          <cell r="BE5" t="str">
            <v>044525225</v>
          </cell>
        </row>
        <row r="6">
          <cell r="A6" t="str">
            <v>Бахиев Руслан Бернауперниевич</v>
          </cell>
          <cell r="B6" t="str">
            <v>Гидроизолировщик</v>
          </cell>
          <cell r="C6" t="str">
            <v>04.04.1987</v>
          </cell>
          <cell r="D6" t="str">
            <v>УЗБЕКИСТАН</v>
          </cell>
          <cell r="E6" t="str">
            <v>775108271094</v>
          </cell>
          <cell r="F6" t="str">
            <v>194-827-631 18</v>
          </cell>
          <cell r="G6" t="str">
            <v>Иностранный паспорт</v>
          </cell>
          <cell r="H6" t="str">
            <v>Серия</v>
          </cell>
          <cell r="I6" t="str">
            <v>FK</v>
          </cell>
          <cell r="J6" t="str">
            <v>Номер</v>
          </cell>
          <cell r="K6" t="str">
            <v>0078499</v>
          </cell>
          <cell r="L6" t="str">
            <v>Выдан</v>
          </cell>
          <cell r="M6" t="str">
            <v>27.01.2021</v>
          </cell>
          <cell r="N6" t="str">
            <v>Государственный центр персонализации</v>
          </cell>
          <cell r="O6">
            <v>0</v>
          </cell>
          <cell r="P6" t="str">
            <v>Серия FK Номер 0078499,Выдан 27.01.2021 Государственный центр персонализации</v>
          </cell>
          <cell r="Q6" t="str">
            <v>РОССИЯ, 121500, Москва г, ул 2-я Мякининская, д. 38, стр. 2</v>
          </cell>
          <cell r="R6" t="str">
            <v>РОССИЯ, 121500, Москва г, ул 2-я Мякининская, д. 38, стр. 2</v>
          </cell>
          <cell r="S6" t="str">
            <v>Патент: серия 77 №2103019335  22.07.2021 Отдел внешней трудовой миграции УВМ ГУ МВД России по Москве</v>
          </cell>
          <cell r="T6" t="str">
            <v>00194</v>
          </cell>
          <cell r="U6">
            <v>180</v>
          </cell>
          <cell r="V6" t="str">
            <v>56-58</v>
          </cell>
          <cell r="W6">
            <v>43</v>
          </cell>
          <cell r="X6">
            <v>0</v>
          </cell>
          <cell r="Y6">
            <v>0</v>
          </cell>
          <cell r="Z6" t="str">
            <v>16.09.2021</v>
          </cell>
          <cell r="AA6" t="str">
            <v>16/09_2021</v>
          </cell>
          <cell r="AB6">
            <v>0</v>
          </cell>
          <cell r="AC6" t="str">
            <v>не надо</v>
          </cell>
          <cell r="AD6" t="str">
            <v>не надо</v>
          </cell>
          <cell r="AE6" t="str">
            <v>не надо</v>
          </cell>
          <cell r="AF6">
            <v>0</v>
          </cell>
          <cell r="AG6">
            <v>0</v>
          </cell>
          <cell r="AH6" t="str">
            <v>не надо</v>
          </cell>
          <cell r="AI6" t="str">
            <v>не надо</v>
          </cell>
          <cell r="AJ6" t="str">
            <v>не надо</v>
          </cell>
          <cell r="AK6" t="str">
            <v>не надо</v>
          </cell>
          <cell r="AL6" t="str">
            <v>не надо</v>
          </cell>
          <cell r="AM6" t="str">
            <v>не надо</v>
          </cell>
          <cell r="AN6" t="str">
            <v>не надо</v>
          </cell>
          <cell r="AO6" t="str">
            <v>не надо</v>
          </cell>
          <cell r="AP6" t="str">
            <v>не надо</v>
          </cell>
          <cell r="AQ6" t="str">
            <v>не надо</v>
          </cell>
          <cell r="AR6" t="str">
            <v>не надо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 t="str">
            <v>8-999-336-29-36</v>
          </cell>
          <cell r="BB6">
            <v>0</v>
          </cell>
          <cell r="BC6" t="str">
            <v>40820810738256508701</v>
          </cell>
          <cell r="BD6" t="str">
            <v>ПАО СБЕРБАНК</v>
          </cell>
          <cell r="BE6" t="str">
            <v>044525225</v>
          </cell>
        </row>
        <row r="7">
          <cell r="A7" t="str">
            <v>Виневцев Сергей Валентинович</v>
          </cell>
          <cell r="B7" t="str">
            <v>Производитель работ</v>
          </cell>
          <cell r="C7">
            <v>24754</v>
          </cell>
          <cell r="D7" t="str">
            <v>РОССИЯ</v>
          </cell>
          <cell r="E7" t="str">
            <v>425305791423</v>
          </cell>
          <cell r="F7" t="str">
            <v>190-339-406 67</v>
          </cell>
          <cell r="G7" t="str">
            <v>Паспорт гражданина РФ</v>
          </cell>
          <cell r="H7" t="str">
            <v>Серия</v>
          </cell>
          <cell r="I7" t="str">
            <v>32 16</v>
          </cell>
          <cell r="J7" t="str">
            <v>Номер</v>
          </cell>
          <cell r="K7" t="str">
            <v>691287</v>
          </cell>
          <cell r="L7" t="str">
            <v>Выдан</v>
          </cell>
          <cell r="M7" t="str">
            <v>12.07.2016</v>
          </cell>
          <cell r="N7" t="str">
            <v>Отделением в Орджоникидзевском районе Отдела УФМС России по Кемеровской области в гор. Новокузнецке</v>
          </cell>
          <cell r="O7" t="str">
            <v>420-031</v>
          </cell>
          <cell r="P7" t="str">
            <v>Серия 32 16 Номер 691287,Выдан 12.07.2016 Отделением в Орджоникидзевском районе Отдела УФМС России по Кемеровской области в гор. Новокузнецке</v>
          </cell>
          <cell r="Q7" t="str">
            <v>РОССИЯ, 347058, Ростовская обл, р-н Белокалитвинский, п Мельничный, ул Кленовая, двлд. 24</v>
          </cell>
          <cell r="R7" t="str">
            <v>РОССИЯ, 347058, Ростовская обл, р-н Белокалитвинский, п Мельничный, ул Кленовая, двлд. 24</v>
          </cell>
          <cell r="S7">
            <v>0</v>
          </cell>
          <cell r="T7" t="str">
            <v>00213</v>
          </cell>
          <cell r="U7">
            <v>170</v>
          </cell>
          <cell r="V7" t="str">
            <v>54-56</v>
          </cell>
          <cell r="W7">
            <v>42</v>
          </cell>
          <cell r="X7">
            <v>0</v>
          </cell>
          <cell r="Y7">
            <v>0</v>
          </cell>
          <cell r="Z7" t="str">
            <v>11.11.2021</v>
          </cell>
          <cell r="AA7" t="str">
            <v>11/11-1_2021</v>
          </cell>
          <cell r="AB7">
            <v>0</v>
          </cell>
          <cell r="AC7">
            <v>1</v>
          </cell>
          <cell r="AD7">
            <v>44518</v>
          </cell>
          <cell r="AE7">
            <v>1</v>
          </cell>
          <cell r="AF7">
            <v>44530</v>
          </cell>
          <cell r="AG7">
            <v>1</v>
          </cell>
          <cell r="AH7">
            <v>44539</v>
          </cell>
          <cell r="AI7" t="str">
            <v>2 группа</v>
          </cell>
          <cell r="AJ7">
            <v>1</v>
          </cell>
          <cell r="AK7">
            <v>44529</v>
          </cell>
          <cell r="AL7" t="str">
            <v>не надо</v>
          </cell>
          <cell r="AM7" t="str">
            <v>не надо</v>
          </cell>
          <cell r="AN7" t="str">
            <v>не надо</v>
          </cell>
          <cell r="AO7" t="str">
            <v>не надо</v>
          </cell>
          <cell r="AP7" t="str">
            <v>не надо</v>
          </cell>
          <cell r="AQ7" t="str">
            <v>не надо</v>
          </cell>
          <cell r="AR7" t="str">
            <v>не надо</v>
          </cell>
          <cell r="AS7" t="str">
            <v>не надо</v>
          </cell>
          <cell r="AT7">
            <v>1</v>
          </cell>
          <cell r="AU7" t="str">
            <v>Стропальщик 5 разряда, 24.12.2021</v>
          </cell>
          <cell r="AV7">
            <v>44525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 t="str">
            <v>89613127069</v>
          </cell>
          <cell r="BB7" t="str">
            <v>sergey.vinevtsev@mail.ru</v>
          </cell>
          <cell r="BC7" t="str">
            <v>40817810052099351768</v>
          </cell>
          <cell r="BD7" t="str">
            <v>ПАО СБЕРБАНК</v>
          </cell>
          <cell r="BE7" t="str">
            <v>046015602</v>
          </cell>
        </row>
        <row r="8">
          <cell r="A8" t="str">
            <v>Дрижинский Михаил Александрович</v>
          </cell>
          <cell r="B8" t="str">
            <v>Мастер</v>
          </cell>
          <cell r="C8">
            <v>32930</v>
          </cell>
          <cell r="D8" t="str">
            <v>БЕЛАРУСЬ</v>
          </cell>
          <cell r="E8" t="str">
            <v>773436902768</v>
          </cell>
          <cell r="F8" t="str">
            <v>199-472-794 52</v>
          </cell>
          <cell r="G8" t="str">
            <v>Иностранный паспорт</v>
          </cell>
          <cell r="H8" t="str">
            <v>Серия</v>
          </cell>
          <cell r="I8" t="str">
            <v>KB</v>
          </cell>
          <cell r="J8" t="str">
            <v>Номер</v>
          </cell>
          <cell r="K8" t="str">
            <v>2080293</v>
          </cell>
          <cell r="L8" t="str">
            <v>Выдан</v>
          </cell>
          <cell r="M8" t="str">
            <v>23.12.2014</v>
          </cell>
          <cell r="N8" t="str">
            <v>ЧАУССКИЙ РОВД МОГИЛЕВСКОЙ ОБЛАСТИ</v>
          </cell>
          <cell r="O8">
            <v>0</v>
          </cell>
          <cell r="P8" t="str">
            <v>Серия KB Номер 2080293,Выдан 23.12.2014 ЧАУССКИЙ РОВД МОГИЛЕВСКОЙ ОБЛАСТИ</v>
          </cell>
          <cell r="Q8" t="str">
            <v>РОССИЯ, Москва г, Маршала Василевского ул, дом 13, корпус 1, квартира 28</v>
          </cell>
          <cell r="R8" t="str">
            <v>РОССИЯ, Москва г, Маршала Василевского ул, дом 13, корпус 1, квартира 28</v>
          </cell>
          <cell r="S8">
            <v>0</v>
          </cell>
          <cell r="T8" t="str">
            <v>00187</v>
          </cell>
          <cell r="U8">
            <v>187</v>
          </cell>
          <cell r="V8" t="str">
            <v>48-50</v>
          </cell>
          <cell r="W8">
            <v>44</v>
          </cell>
          <cell r="X8">
            <v>0</v>
          </cell>
          <cell r="Y8">
            <v>0</v>
          </cell>
          <cell r="Z8" t="str">
            <v>30.08.2021</v>
          </cell>
          <cell r="AA8" t="str">
            <v>30/08-1_2021</v>
          </cell>
          <cell r="AB8">
            <v>0</v>
          </cell>
          <cell r="AC8">
            <v>1</v>
          </cell>
          <cell r="AD8">
            <v>44518</v>
          </cell>
          <cell r="AE8">
            <v>1</v>
          </cell>
          <cell r="AF8">
            <v>44530</v>
          </cell>
          <cell r="AG8">
            <v>1</v>
          </cell>
          <cell r="AH8">
            <v>44539</v>
          </cell>
          <cell r="AI8" t="str">
            <v>2 группа</v>
          </cell>
          <cell r="AJ8">
            <v>1</v>
          </cell>
          <cell r="AK8">
            <v>44529</v>
          </cell>
          <cell r="AL8" t="str">
            <v>не надо</v>
          </cell>
          <cell r="AM8" t="str">
            <v>не надо</v>
          </cell>
          <cell r="AN8" t="str">
            <v>не надо</v>
          </cell>
          <cell r="AO8" t="str">
            <v>не надо</v>
          </cell>
          <cell r="AP8" t="str">
            <v>не надо</v>
          </cell>
          <cell r="AQ8" t="str">
            <v>не надо</v>
          </cell>
          <cell r="AR8" t="str">
            <v>не надо</v>
          </cell>
          <cell r="AS8" t="str">
            <v>не надо</v>
          </cell>
          <cell r="AT8">
            <v>1</v>
          </cell>
          <cell r="AU8" t="str">
            <v>Стропальщик 5 разряда, 10.11.2021</v>
          </cell>
          <cell r="AV8">
            <v>44553</v>
          </cell>
          <cell r="AW8">
            <v>0</v>
          </cell>
          <cell r="AX8">
            <v>44241</v>
          </cell>
          <cell r="AY8">
            <v>0</v>
          </cell>
          <cell r="AZ8">
            <v>0</v>
          </cell>
          <cell r="BA8" t="str">
            <v>8-985-624-68-34</v>
          </cell>
          <cell r="BB8" t="str">
            <v>sekundant1111@gmail.com</v>
          </cell>
          <cell r="BC8" t="str">
            <v>40820810438043005047</v>
          </cell>
          <cell r="BD8" t="str">
            <v>ПАО СБЕРБАНК</v>
          </cell>
          <cell r="BE8" t="str">
            <v>044525225</v>
          </cell>
        </row>
        <row r="9">
          <cell r="A9" t="str">
            <v>Дровосеков Степан Алексеевич</v>
          </cell>
          <cell r="B9" t="str">
            <v>Мастер</v>
          </cell>
          <cell r="C9">
            <v>33064</v>
          </cell>
          <cell r="D9" t="str">
            <v>РОССИЯ</v>
          </cell>
          <cell r="E9" t="str">
            <v>672705360335</v>
          </cell>
          <cell r="F9" t="str">
            <v>140-045-533 04</v>
          </cell>
          <cell r="G9" t="str">
            <v>Паспорт гражданина РФ</v>
          </cell>
          <cell r="H9" t="str">
            <v>Серия</v>
          </cell>
          <cell r="I9" t="str">
            <v>66 10</v>
          </cell>
          <cell r="J9" t="str">
            <v>Номер</v>
          </cell>
          <cell r="K9" t="str">
            <v>556509</v>
          </cell>
          <cell r="L9" t="str">
            <v>Выдан</v>
          </cell>
          <cell r="M9" t="str">
            <v>19.07.2010</v>
          </cell>
          <cell r="N9" t="str">
            <v>МО УФМС РОССИИ ПО СМОЛЕНСКОЙ ОБЛАСТИ В ГОРОДЕ ЯРЦЕВО</v>
          </cell>
          <cell r="O9" t="str">
            <v>670-029</v>
          </cell>
          <cell r="P9" t="str">
            <v>Серия 66 10 Номер 556509,Выдан 19.07.2010 МО УФМС РОССИИ ПО СМОЛЕНСКОЙ ОБЛАСТИ В ГОРОДЕ ЯРЦЕВО</v>
          </cell>
          <cell r="Q9" t="str">
            <v>РОССИЯ, 215805, Смоленская обл, Ярцевский р-н, Ярцево г, Автозаводская ул, дом № 30, квартира 48</v>
          </cell>
          <cell r="R9" t="str">
            <v>РОССИЯ, 215805, Смоленская обл, Ярцевский р-н, Ярцево г, Автозаводская ул, дом № 30, квартира 48</v>
          </cell>
          <cell r="S9">
            <v>0</v>
          </cell>
          <cell r="T9" t="str">
            <v>00220</v>
          </cell>
          <cell r="U9">
            <v>187</v>
          </cell>
          <cell r="V9" t="str">
            <v>48-50</v>
          </cell>
          <cell r="W9">
            <v>43</v>
          </cell>
          <cell r="X9">
            <v>0</v>
          </cell>
          <cell r="Y9">
            <v>0</v>
          </cell>
          <cell r="Z9" t="str">
            <v>26.11.2021</v>
          </cell>
          <cell r="AA9" t="str">
            <v>26/11-1_2021</v>
          </cell>
          <cell r="AB9">
            <v>0</v>
          </cell>
          <cell r="AC9">
            <v>1</v>
          </cell>
          <cell r="AD9">
            <v>43950</v>
          </cell>
          <cell r="AE9">
            <v>1</v>
          </cell>
          <cell r="AF9">
            <v>44530</v>
          </cell>
          <cell r="AG9">
            <v>1</v>
          </cell>
          <cell r="AH9">
            <v>44539</v>
          </cell>
          <cell r="AI9" t="str">
            <v>3 группа</v>
          </cell>
          <cell r="AJ9">
            <v>1</v>
          </cell>
          <cell r="AK9">
            <v>43949</v>
          </cell>
          <cell r="AL9" t="str">
            <v>не надо</v>
          </cell>
          <cell r="AM9" t="str">
            <v>не надо</v>
          </cell>
          <cell r="AN9">
            <v>44531</v>
          </cell>
          <cell r="AO9" t="str">
            <v>не надо</v>
          </cell>
          <cell r="AP9" t="str">
            <v>не надо</v>
          </cell>
          <cell r="AQ9">
            <v>0</v>
          </cell>
          <cell r="AR9">
            <v>1</v>
          </cell>
          <cell r="AS9">
            <v>44461</v>
          </cell>
          <cell r="AT9">
            <v>1</v>
          </cell>
          <cell r="AU9" t="str">
            <v>Стропальщик 5 разряда, 30.12.2021</v>
          </cell>
          <cell r="AV9">
            <v>44525</v>
          </cell>
          <cell r="AW9">
            <v>0</v>
          </cell>
          <cell r="AX9">
            <v>44265</v>
          </cell>
          <cell r="AY9">
            <v>0</v>
          </cell>
          <cell r="AZ9">
            <v>0</v>
          </cell>
          <cell r="BA9" t="str">
            <v>8-950-701-98-98</v>
          </cell>
          <cell r="BB9" t="str">
            <v>moj696@mail.ru</v>
          </cell>
          <cell r="BC9" t="str">
            <v>40817810759006478400</v>
          </cell>
          <cell r="BD9" t="str">
            <v>ПАО СБЕРБАНК</v>
          </cell>
          <cell r="BE9" t="str">
            <v>044525225</v>
          </cell>
        </row>
        <row r="10">
          <cell r="A10" t="str">
            <v>Ефимчиков Максим Михайлович</v>
          </cell>
          <cell r="B10" t="str">
            <v>Мастер</v>
          </cell>
          <cell r="C10">
            <v>33033</v>
          </cell>
          <cell r="D10" t="str">
            <v>БЕЛАРУСЬ</v>
          </cell>
          <cell r="E10" t="str">
            <v>770877289772</v>
          </cell>
          <cell r="F10" t="str">
            <v>211-580-301 12</v>
          </cell>
          <cell r="G10" t="str">
            <v>Иностранный паспорт</v>
          </cell>
          <cell r="H10" t="str">
            <v>Серия</v>
          </cell>
          <cell r="I10" t="str">
            <v xml:space="preserve">КВ </v>
          </cell>
          <cell r="J10" t="str">
            <v>Номер</v>
          </cell>
          <cell r="K10" t="str">
            <v>2101561</v>
          </cell>
          <cell r="L10" t="str">
            <v>Выдан</v>
          </cell>
          <cell r="M10" t="str">
            <v>13.04.2015</v>
          </cell>
          <cell r="N10" t="str">
            <v>ЧАУССКИЙ РОВД МОГИЛЕВСКОЙ ОБЛАСТИ</v>
          </cell>
          <cell r="O10">
            <v>0</v>
          </cell>
          <cell r="P10" t="str">
            <v>Серия КВ  Номер 2101561,Выдан 13.04.2015 ЧАУССКИЙ РОВД МОГИЛЕВСКОЙ ОБЛАСТИ</v>
          </cell>
          <cell r="Q10" t="str">
            <v>РОССИЯ, 107140, Москва г, проезд Комсомольской Площади, д. 16</v>
          </cell>
          <cell r="R10" t="str">
            <v>РОССИЯ, 107140, Москва г, проезд Комсомольской Площади, д. 16</v>
          </cell>
          <cell r="S10">
            <v>0</v>
          </cell>
          <cell r="T10" t="str">
            <v>00168</v>
          </cell>
          <cell r="U10">
            <v>178</v>
          </cell>
          <cell r="V10" t="str">
            <v>48-50</v>
          </cell>
          <cell r="W10">
            <v>43</v>
          </cell>
          <cell r="X10">
            <v>0</v>
          </cell>
          <cell r="Y10">
            <v>0</v>
          </cell>
          <cell r="Z10" t="str">
            <v>12.07.2021</v>
          </cell>
          <cell r="AA10" t="str">
            <v>12/07-1_2021</v>
          </cell>
          <cell r="AB10">
            <v>0</v>
          </cell>
          <cell r="AC10">
            <v>1</v>
          </cell>
          <cell r="AD10">
            <v>44260</v>
          </cell>
          <cell r="AE10">
            <v>1</v>
          </cell>
          <cell r="AF10">
            <v>44530</v>
          </cell>
          <cell r="AG10">
            <v>1</v>
          </cell>
          <cell r="AH10">
            <v>44539</v>
          </cell>
          <cell r="AI10" t="str">
            <v>3 группа</v>
          </cell>
          <cell r="AJ10">
            <v>1</v>
          </cell>
          <cell r="AK10">
            <v>44260</v>
          </cell>
          <cell r="AL10" t="str">
            <v>не надо</v>
          </cell>
          <cell r="AM10" t="str">
            <v>не надо</v>
          </cell>
          <cell r="AN10" t="str">
            <v>не надо</v>
          </cell>
          <cell r="AO10" t="str">
            <v>не надо</v>
          </cell>
          <cell r="AP10" t="str">
            <v>не надо</v>
          </cell>
          <cell r="AQ10" t="str">
            <v>не надо</v>
          </cell>
          <cell r="AR10" t="str">
            <v>не надо</v>
          </cell>
          <cell r="AS10" t="str">
            <v>не надо</v>
          </cell>
          <cell r="AT10">
            <v>1</v>
          </cell>
          <cell r="AU10" t="str">
            <v>Стропальщик 5 разряда, 10.11.2021</v>
          </cell>
          <cell r="AV10">
            <v>44525</v>
          </cell>
          <cell r="AW10">
            <v>0</v>
          </cell>
          <cell r="AX10">
            <v>44265</v>
          </cell>
          <cell r="AY10">
            <v>0</v>
          </cell>
          <cell r="AZ10">
            <v>0</v>
          </cell>
          <cell r="BA10" t="str">
            <v>8-977-749-28-49</v>
          </cell>
          <cell r="BB10" t="str">
            <v>maks.090690@mail.ru</v>
          </cell>
          <cell r="BC10" t="str">
            <v>40820810340010302793</v>
          </cell>
          <cell r="BD10" t="str">
            <v>ПАО СБЕРБАНК</v>
          </cell>
          <cell r="BE10" t="str">
            <v>044525225</v>
          </cell>
        </row>
        <row r="11">
          <cell r="A11" t="str">
            <v>Жамилжанов Бахадир Жамилжан Ули</v>
          </cell>
          <cell r="B11" t="str">
            <v>Подсобный рабочий</v>
          </cell>
          <cell r="C11">
            <v>37448</v>
          </cell>
          <cell r="D11" t="str">
            <v>УЗБЕКИСТАН</v>
          </cell>
          <cell r="E11" t="str">
            <v>772848017070</v>
          </cell>
          <cell r="F11" t="str">
            <v>214-088-366 52</v>
          </cell>
          <cell r="G11" t="str">
            <v>Иностранный паспорт</v>
          </cell>
          <cell r="H11" t="str">
            <v>Серия</v>
          </cell>
          <cell r="I11" t="str">
            <v>FK</v>
          </cell>
          <cell r="J11" t="str">
            <v>Номер</v>
          </cell>
          <cell r="K11" t="str">
            <v>0035801</v>
          </cell>
          <cell r="L11" t="str">
            <v>Выдан</v>
          </cell>
          <cell r="M11" t="str">
            <v>25.09.2020</v>
          </cell>
          <cell r="N11" t="str">
            <v>Каракалпакстан</v>
          </cell>
          <cell r="O11" t="str">
            <v>MIA35401</v>
          </cell>
          <cell r="P11" t="str">
            <v>Серия FK Номер 0035801,Выдан 25.09.2020 Каракалпакстан</v>
          </cell>
          <cell r="Q11" t="str">
            <v>РОССИЯ, 117485, Москва г, ул Академика Волгина, д. 2, к. 2, до 06.01.2022</v>
          </cell>
          <cell r="R11" t="str">
            <v>РОССИЯ, 117485, Москва г, ул Академика Волгина, д. 2, к. 2, до 06.01.2022</v>
          </cell>
          <cell r="S11" t="str">
            <v>Патент: Серия 77 номер 2105710876 10.11.2021 Отдел внешней трудовой миграции УВМ ГУ МВД России по Москве</v>
          </cell>
          <cell r="T11" t="str">
            <v>00214</v>
          </cell>
          <cell r="U11">
            <v>183</v>
          </cell>
          <cell r="V11" t="str">
            <v>52-54</v>
          </cell>
          <cell r="W11">
            <v>42</v>
          </cell>
          <cell r="X11">
            <v>0</v>
          </cell>
          <cell r="Y11">
            <v>0</v>
          </cell>
          <cell r="Z11" t="str">
            <v>16.11.2021</v>
          </cell>
          <cell r="AA11" t="str">
            <v>16/11-1_2021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 t="str">
            <v>не надо</v>
          </cell>
          <cell r="AH11" t="str">
            <v>не надо</v>
          </cell>
          <cell r="AI11" t="str">
            <v>не надо</v>
          </cell>
          <cell r="AJ11">
            <v>0</v>
          </cell>
          <cell r="AK11">
            <v>0</v>
          </cell>
          <cell r="AL11" t="str">
            <v>не надо</v>
          </cell>
          <cell r="AM11" t="str">
            <v>не надо</v>
          </cell>
          <cell r="AN11" t="str">
            <v>не надо</v>
          </cell>
          <cell r="AO11" t="str">
            <v>не надо</v>
          </cell>
          <cell r="AP11" t="str">
            <v>не надо</v>
          </cell>
          <cell r="AQ11" t="str">
            <v>не надо</v>
          </cell>
          <cell r="AR11" t="str">
            <v>не надо</v>
          </cell>
          <cell r="AS11" t="str">
            <v>не надо</v>
          </cell>
          <cell r="AT11" t="str">
            <v>не надо</v>
          </cell>
          <cell r="AU11" t="str">
            <v>не надо</v>
          </cell>
          <cell r="AV11" t="str">
            <v>не надо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 t="str">
            <v>8 999 002 50 47</v>
          </cell>
          <cell r="BB11" t="str">
            <v>bahadirrr202@gmail.com</v>
          </cell>
          <cell r="BC11" t="str">
            <v>40820810838110174919</v>
          </cell>
          <cell r="BD11" t="str">
            <v>ПАО СБЕРБАНК</v>
          </cell>
          <cell r="BE11" t="str">
            <v>044525225</v>
          </cell>
        </row>
        <row r="12">
          <cell r="A12" t="str">
            <v>Ибиев Габибулла Гаджимурадович</v>
          </cell>
          <cell r="B12" t="str">
            <v>Кровельщик</v>
          </cell>
          <cell r="C12">
            <v>34659</v>
          </cell>
          <cell r="D12" t="str">
            <v>РОССИЯ</v>
          </cell>
          <cell r="E12" t="str">
            <v>053101964658</v>
          </cell>
          <cell r="F12" t="str">
            <v>178-335-375 00</v>
          </cell>
          <cell r="G12" t="str">
            <v>Паспорт гражданина РФ</v>
          </cell>
          <cell r="H12" t="str">
            <v>Серия</v>
          </cell>
          <cell r="I12" t="str">
            <v>82 14</v>
          </cell>
          <cell r="J12" t="str">
            <v>Номер</v>
          </cell>
          <cell r="K12" t="str">
            <v>596904</v>
          </cell>
          <cell r="L12" t="str">
            <v>Выдан</v>
          </cell>
          <cell r="M12" t="str">
            <v>09.12.2014</v>
          </cell>
          <cell r="N12" t="str">
            <v>ОУФМС России по Респ. Дагестан в Тарумовском районе</v>
          </cell>
          <cell r="O12" t="str">
            <v>050-041</v>
          </cell>
          <cell r="P12" t="str">
            <v>Серия 82 14 Номер 596904,Выдан 09.12.2014 ОУФМС России по Респ. Дагестан в Тарумовском районе</v>
          </cell>
          <cell r="Q12" t="str">
            <v>РОССИЯ, 368886, Дагестан респ, Тарумовский р-н, Карабаглы с, Школьная ул, дом 69</v>
          </cell>
          <cell r="R12" t="str">
            <v>РОССИЯ, 368886, Дагестан респ, Тарумовский р-н, Карабаглы с, Школьная ул, дом 69</v>
          </cell>
          <cell r="S12">
            <v>0</v>
          </cell>
          <cell r="T12" t="str">
            <v>00203</v>
          </cell>
          <cell r="U12">
            <v>176</v>
          </cell>
          <cell r="V12" t="str">
            <v>48-50</v>
          </cell>
          <cell r="W12">
            <v>42</v>
          </cell>
          <cell r="X12">
            <v>0</v>
          </cell>
          <cell r="Y12">
            <v>0</v>
          </cell>
          <cell r="Z12" t="str">
            <v>11.10.2021</v>
          </cell>
          <cell r="AA12" t="str">
            <v>01-12/21-ТП-15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 t="str">
            <v>не надо</v>
          </cell>
          <cell r="AH12" t="str">
            <v>не надо</v>
          </cell>
          <cell r="AI12" t="str">
            <v>не надо</v>
          </cell>
          <cell r="AJ12">
            <v>0</v>
          </cell>
          <cell r="AK12">
            <v>0</v>
          </cell>
          <cell r="AL12" t="str">
            <v>не надо</v>
          </cell>
          <cell r="AM12" t="str">
            <v>не надо</v>
          </cell>
          <cell r="AN12" t="str">
            <v>не надо</v>
          </cell>
          <cell r="AO12" t="str">
            <v>не надо</v>
          </cell>
          <cell r="AP12" t="str">
            <v>не надо</v>
          </cell>
          <cell r="AQ12" t="str">
            <v>не надо</v>
          </cell>
          <cell r="AR12" t="str">
            <v>не надо</v>
          </cell>
          <cell r="AS12" t="str">
            <v>не надо</v>
          </cell>
          <cell r="AT12">
            <v>0</v>
          </cell>
          <cell r="AU12" t="str">
            <v>нет</v>
          </cell>
          <cell r="AV12">
            <v>0</v>
          </cell>
          <cell r="AW12">
            <v>0</v>
          </cell>
          <cell r="AX12">
            <v>44265</v>
          </cell>
          <cell r="AY12">
            <v>0</v>
          </cell>
          <cell r="AZ12">
            <v>0</v>
          </cell>
          <cell r="BA12" t="str">
            <v>8-925-864-66-98</v>
          </cell>
          <cell r="BB12">
            <v>0</v>
          </cell>
          <cell r="BC12" t="str">
            <v>40817810428781559268</v>
          </cell>
          <cell r="BD12" t="str">
            <v>ПАО СБЕРБАНК</v>
          </cell>
          <cell r="BE12">
            <v>48702640</v>
          </cell>
        </row>
        <row r="13">
          <cell r="A13" t="str">
            <v>Ибиев Идрис Рабаданович</v>
          </cell>
          <cell r="B13" t="str">
            <v>Кровельщик</v>
          </cell>
          <cell r="C13">
            <v>27991</v>
          </cell>
          <cell r="D13" t="str">
            <v>РОССИЯ</v>
          </cell>
          <cell r="E13" t="str">
            <v>051103471566</v>
          </cell>
          <cell r="F13" t="str">
            <v>134-384-122 43</v>
          </cell>
          <cell r="G13" t="str">
            <v>Паспорт гражданина РФ</v>
          </cell>
          <cell r="H13" t="str">
            <v>Серия</v>
          </cell>
          <cell r="I13" t="str">
            <v>82 01</v>
          </cell>
          <cell r="J13" t="str">
            <v>Номер</v>
          </cell>
          <cell r="K13" t="str">
            <v>434562</v>
          </cell>
          <cell r="L13" t="str">
            <v>Выдан</v>
          </cell>
          <cell r="M13" t="str">
            <v>27.11.2001</v>
          </cell>
          <cell r="N13" t="str">
            <v>Отделом внутренних дел Дахадаевского района Республики Дагестан</v>
          </cell>
          <cell r="O13" t="str">
            <v>052-021</v>
          </cell>
          <cell r="P13" t="str">
            <v>Серия 82 01 Номер 434562,Выдан 27.11.2001 Отделом внутренних дел Дахадаевского района Республики Дагестан</v>
          </cell>
          <cell r="Q13" t="str">
            <v>РОССИЯ, 356834, Ставропольский край, Буденновский р-н, Орловка с, Школьная ул, домовладение № 2а</v>
          </cell>
          <cell r="R13" t="str">
            <v>РОССИЯ, 356834, Ставропольский край, Буденновский р-н, Орловка с, Школьная ул, домовладение № 2а</v>
          </cell>
          <cell r="S13">
            <v>0</v>
          </cell>
          <cell r="T13" t="str">
            <v>00202</v>
          </cell>
          <cell r="U13">
            <v>176</v>
          </cell>
          <cell r="V13" t="str">
            <v>52-54</v>
          </cell>
          <cell r="W13">
            <v>44</v>
          </cell>
          <cell r="X13">
            <v>0</v>
          </cell>
          <cell r="Y13">
            <v>0</v>
          </cell>
          <cell r="Z13" t="str">
            <v>11.10.2021</v>
          </cell>
          <cell r="AA13" t="str">
            <v>01-12/21-ТП-13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1</v>
          </cell>
          <cell r="AH13">
            <v>44539</v>
          </cell>
          <cell r="AI13" t="str">
            <v>1 группа</v>
          </cell>
          <cell r="AJ13">
            <v>0</v>
          </cell>
          <cell r="AK13">
            <v>0</v>
          </cell>
          <cell r="AL13" t="str">
            <v>не надо</v>
          </cell>
          <cell r="AM13" t="str">
            <v>не надо</v>
          </cell>
          <cell r="AN13" t="str">
            <v>не надо</v>
          </cell>
          <cell r="AO13" t="str">
            <v>не надо</v>
          </cell>
          <cell r="AP13" t="str">
            <v>не надо</v>
          </cell>
          <cell r="AQ13" t="str">
            <v>не надо</v>
          </cell>
          <cell r="AR13" t="str">
            <v>не надо</v>
          </cell>
          <cell r="AS13" t="str">
            <v>не надо</v>
          </cell>
          <cell r="AT13">
            <v>1</v>
          </cell>
          <cell r="AU13" t="str">
            <v>Кровельщик 5 разряда, протокол от 23.09.2019 №342 ЭК</v>
          </cell>
          <cell r="AV13">
            <v>0</v>
          </cell>
          <cell r="AW13" t="str">
            <v>Кровельщик 5 разряда, протокол от 23.09.2019 №342 ЭК</v>
          </cell>
          <cell r="AX13">
            <v>44265</v>
          </cell>
          <cell r="AY13">
            <v>0</v>
          </cell>
          <cell r="AZ13">
            <v>0</v>
          </cell>
          <cell r="BA13" t="str">
            <v>8-989-992-31-27</v>
          </cell>
          <cell r="BB13" t="str">
            <v>idrisibiv1@gmail.com</v>
          </cell>
          <cell r="BC13" t="str">
            <v>40817810340010541130</v>
          </cell>
          <cell r="BD13" t="str">
            <v>ПАО СБЕРБАНК</v>
          </cell>
          <cell r="BE13" t="str">
            <v>044525225</v>
          </cell>
        </row>
        <row r="14">
          <cell r="A14" t="str">
            <v>Ибиев Навруз Исмуллаевич</v>
          </cell>
          <cell r="B14" t="str">
            <v>Кровельщик</v>
          </cell>
          <cell r="C14">
            <v>32407</v>
          </cell>
          <cell r="D14" t="str">
            <v>РОССИЯ</v>
          </cell>
          <cell r="E14" t="str">
            <v>261406982699</v>
          </cell>
          <cell r="F14" t="str">
            <v>153-517-253 51</v>
          </cell>
          <cell r="G14" t="str">
            <v>Паспорт гражданина РФ</v>
          </cell>
          <cell r="H14" t="str">
            <v>Серия</v>
          </cell>
          <cell r="I14" t="str">
            <v>07 08</v>
          </cell>
          <cell r="J14" t="str">
            <v>Номер</v>
          </cell>
          <cell r="K14" t="str">
            <v>113096</v>
          </cell>
          <cell r="L14" t="str">
            <v>Выдан</v>
          </cell>
          <cell r="M14" t="str">
            <v>02.10.2008</v>
          </cell>
          <cell r="N14" t="str">
            <v>ОУФМС РОССИИ ПО СТАВРОПОЛЬСКОМУ КРАЮ В НЕФТЕКУМСКОМ РАЙОНЕ</v>
          </cell>
          <cell r="O14" t="str">
            <v>260-023</v>
          </cell>
          <cell r="P14" t="str">
            <v>Серия 07 08 Номер 113096,Выдан 02.10.2008 ОУФМС РОССИИ ПО СТАВРОПОЛЬСКОМУ КРАЮ В НЕФТЕКУМСКОМ РАЙОНЕ</v>
          </cell>
          <cell r="Q14" t="str">
            <v>РОССИЯ, 356874, Ставропольский край, Нефтекумский р-н, Зункарь п, Северная ул, дом 5</v>
          </cell>
          <cell r="R14" t="str">
            <v>РОССИЯ, 356874, Ставропольский край, Нефтекумский р-н, Зункарь п, Северная ул, дом 5</v>
          </cell>
          <cell r="S14">
            <v>0</v>
          </cell>
          <cell r="T14" t="str">
            <v>00201</v>
          </cell>
          <cell r="U14">
            <v>173</v>
          </cell>
          <cell r="V14" t="str">
            <v>52-54</v>
          </cell>
          <cell r="W14">
            <v>43</v>
          </cell>
          <cell r="X14">
            <v>0</v>
          </cell>
          <cell r="Y14">
            <v>0</v>
          </cell>
          <cell r="Z14" t="str">
            <v>11.10.2021</v>
          </cell>
          <cell r="AA14" t="str">
            <v>01-12/21-ТП-14</v>
          </cell>
          <cell r="AB14">
            <v>0</v>
          </cell>
          <cell r="AC14">
            <v>1</v>
          </cell>
          <cell r="AD14">
            <v>44471</v>
          </cell>
          <cell r="AE14">
            <v>0</v>
          </cell>
          <cell r="AF14">
            <v>0</v>
          </cell>
          <cell r="AG14" t="str">
            <v>не надо</v>
          </cell>
          <cell r="AH14" t="str">
            <v>не надо</v>
          </cell>
          <cell r="AI14" t="str">
            <v>не надо</v>
          </cell>
          <cell r="AJ14">
            <v>0</v>
          </cell>
          <cell r="AK14">
            <v>0</v>
          </cell>
          <cell r="AL14" t="str">
            <v>не надо</v>
          </cell>
          <cell r="AM14" t="str">
            <v>не надо</v>
          </cell>
          <cell r="AN14" t="str">
            <v>не надо</v>
          </cell>
          <cell r="AO14" t="str">
            <v>не надо</v>
          </cell>
          <cell r="AP14" t="str">
            <v>не надо</v>
          </cell>
          <cell r="AQ14" t="str">
            <v>не надо</v>
          </cell>
          <cell r="AR14" t="str">
            <v>не надо</v>
          </cell>
          <cell r="AS14" t="str">
            <v>не надо</v>
          </cell>
          <cell r="AT14">
            <v>0</v>
          </cell>
          <cell r="AU14" t="str">
            <v>нет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 t="str">
            <v>8-918-727-02-98</v>
          </cell>
          <cell r="BB14">
            <v>0</v>
          </cell>
          <cell r="BC14" t="str">
            <v>40817810340015529940</v>
          </cell>
          <cell r="BD14" t="str">
            <v>ПАО СБЕРБАНК</v>
          </cell>
          <cell r="BE14" t="str">
            <v>044525225</v>
          </cell>
        </row>
        <row r="15">
          <cell r="A15" t="str">
            <v>Клюева Дарья Анатольевна</v>
          </cell>
          <cell r="B15" t="str">
            <v xml:space="preserve">менеджер по персоналу </v>
          </cell>
          <cell r="C15" t="str">
            <v>07.05.1999</v>
          </cell>
          <cell r="D15" t="str">
            <v>РОССИЯ</v>
          </cell>
          <cell r="E15" t="str">
            <v>772347344527</v>
          </cell>
          <cell r="F15" t="str">
            <v>184-290-748 94</v>
          </cell>
          <cell r="G15" t="str">
            <v>Паспорт гражданина РФ</v>
          </cell>
          <cell r="H15" t="str">
            <v>Серия</v>
          </cell>
          <cell r="I15" t="str">
            <v>46 19</v>
          </cell>
          <cell r="J15" t="str">
            <v>Номер</v>
          </cell>
          <cell r="K15" t="str">
            <v>408852</v>
          </cell>
          <cell r="L15" t="str">
            <v>Выдан</v>
          </cell>
          <cell r="M15" t="str">
            <v>11.06.2019</v>
          </cell>
          <cell r="N15" t="str">
            <v xml:space="preserve">ГУ МВД РОССИИ ПО МОСКОВСКОЙ ОБЛАСТИ </v>
          </cell>
          <cell r="O15" t="str">
            <v>500-095</v>
          </cell>
          <cell r="P15" t="str">
            <v xml:space="preserve">Серия 46 19 Номер 408852,Выдан 11.06.2019 ГУ МВД РОССИИ ПО МОСКОВСКОЙ ОБЛАСТИ </v>
          </cell>
          <cell r="Q15" t="str">
            <v>РОССИЯ, 109263, Москва г, ул Артюхиной, д. 29/7, кв. 6</v>
          </cell>
          <cell r="R15" t="str">
            <v>РОССИЯ, 109263, Москва г, ул Артюхиной, д. 29/7, кв. 6</v>
          </cell>
          <cell r="S15">
            <v>0</v>
          </cell>
          <cell r="T15" t="str">
            <v>00183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26.08.2021</v>
          </cell>
          <cell r="AA15" t="str">
            <v>26/08_2021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 t="str">
            <v>8-963-617-41-09</v>
          </cell>
          <cell r="BB15" t="str">
            <v>dashakljv@mail.ru</v>
          </cell>
          <cell r="BC15" t="str">
            <v>40817810538260451730</v>
          </cell>
          <cell r="BD15" t="str">
            <v>ПАО СБЕРБАНК</v>
          </cell>
          <cell r="BE15" t="str">
            <v>044525225</v>
          </cell>
        </row>
        <row r="16">
          <cell r="A16" t="str">
            <v>Кузьмина Татьяна Вячеславовна</v>
          </cell>
          <cell r="B16" t="str">
            <v>Комендант</v>
          </cell>
          <cell r="C16" t="str">
            <v>04.05.1969</v>
          </cell>
          <cell r="D16" t="str">
            <v>РОССИЯ</v>
          </cell>
          <cell r="E16" t="str">
            <v>672300061506</v>
          </cell>
          <cell r="F16" t="str">
            <v>051-448-847 61</v>
          </cell>
          <cell r="G16" t="str">
            <v>Паспорт гражданина РФ</v>
          </cell>
          <cell r="H16" t="str">
            <v>Серия</v>
          </cell>
          <cell r="I16" t="str">
            <v>46 21</v>
          </cell>
          <cell r="J16" t="str">
            <v>Номер</v>
          </cell>
          <cell r="K16" t="str">
            <v> 403980 </v>
          </cell>
          <cell r="L16" t="str">
            <v>Выдан</v>
          </cell>
          <cell r="M16">
            <v>44527</v>
          </cell>
          <cell r="N16" t="str">
            <v>ГУ МВД России по Московской области</v>
          </cell>
          <cell r="O16" t="str">
            <v>500-095</v>
          </cell>
          <cell r="P16" t="str">
            <v>Серия 46 21 Номер  403980 ,Выдан 27.11.2021 ГУ МВД России по Московской области</v>
          </cell>
          <cell r="Q16" t="str">
            <v>РОССИЯ, 143007, Московская обл, г Одинцово, ул Вокзальная, д. 9, кв. 172</v>
          </cell>
          <cell r="R16" t="str">
            <v>РОССИЯ, 143007, Московская обл, г Одинцово, ул Вокзальная, д. 9, кв. 172</v>
          </cell>
          <cell r="S16">
            <v>0</v>
          </cell>
          <cell r="T16" t="str">
            <v>00207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19.10.2021</v>
          </cell>
          <cell r="AA16" t="str">
            <v>19/10-2_2021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 t="str">
            <v>8-906-090-78-49</v>
          </cell>
          <cell r="BB16">
            <v>0</v>
          </cell>
          <cell r="BC16" t="str">
            <v>40817810440005596362</v>
          </cell>
          <cell r="BD16" t="str">
            <v>ПАО СБЕРБАНК</v>
          </cell>
          <cell r="BE16" t="str">
            <v>044525225</v>
          </cell>
        </row>
        <row r="17">
          <cell r="A17" t="str">
            <v>Лапицкий Андрей Михайлович</v>
          </cell>
          <cell r="B17" t="str">
            <v>Главный инженер</v>
          </cell>
          <cell r="C17" t="str">
            <v>19.12.1986</v>
          </cell>
          <cell r="D17" t="str">
            <v>БЕЛАРУСЬ</v>
          </cell>
          <cell r="E17" t="str">
            <v>772423162803</v>
          </cell>
          <cell r="F17" t="str">
            <v>170-987-963 27</v>
          </cell>
          <cell r="G17" t="str">
            <v>Иностранный паспорт</v>
          </cell>
          <cell r="H17" t="str">
            <v>Серия</v>
          </cell>
          <cell r="I17" t="str">
            <v xml:space="preserve">КВ </v>
          </cell>
          <cell r="J17" t="str">
            <v>Номер</v>
          </cell>
          <cell r="K17" t="str">
            <v>1798884</v>
          </cell>
          <cell r="L17" t="str">
            <v>Выдан</v>
          </cell>
          <cell r="M17" t="str">
            <v>10.11.2011</v>
          </cell>
          <cell r="N17" t="str">
            <v>Ленинский РОВД г. Могилева</v>
          </cell>
          <cell r="O17">
            <v>0</v>
          </cell>
          <cell r="P17" t="str">
            <v>Серия КВ  Номер 1798884,Выдан 10.11.2011 Ленинский РОВД г. Могилева</v>
          </cell>
          <cell r="Q17" t="str">
            <v>143022, Московская обл, Одинцовский р-н, Летний Отдых п, Звенигородское ш, дом № 3, строение 1, кв.1</v>
          </cell>
          <cell r="R17" t="str">
            <v>143022, Московская обл, Одинцовский р-н, Летний Отдых п, Звенигородское ш, дом № 3, строение 1, кв.1</v>
          </cell>
          <cell r="S17">
            <v>0</v>
          </cell>
          <cell r="T17" t="str">
            <v>0000000031</v>
          </cell>
          <cell r="U17">
            <v>180</v>
          </cell>
          <cell r="V17" t="str">
            <v>50-52</v>
          </cell>
          <cell r="W17">
            <v>43</v>
          </cell>
          <cell r="X17">
            <v>0</v>
          </cell>
          <cell r="Y17">
            <v>0</v>
          </cell>
          <cell r="Z17" t="str">
            <v>11.07.2016</v>
          </cell>
          <cell r="AA17" t="str">
            <v>ТХ-9</v>
          </cell>
          <cell r="AB17">
            <v>0</v>
          </cell>
          <cell r="AC17">
            <v>1</v>
          </cell>
          <cell r="AD17">
            <v>44518</v>
          </cell>
          <cell r="AE17">
            <v>1</v>
          </cell>
          <cell r="AF17">
            <v>44431</v>
          </cell>
          <cell r="AG17">
            <v>1</v>
          </cell>
          <cell r="AH17">
            <v>44539</v>
          </cell>
          <cell r="AI17" t="str">
            <v>2 группа</v>
          </cell>
          <cell r="AJ17">
            <v>1</v>
          </cell>
          <cell r="AK17">
            <v>44529</v>
          </cell>
          <cell r="AL17">
            <v>44510</v>
          </cell>
          <cell r="AM17">
            <v>44553</v>
          </cell>
          <cell r="AN17" t="str">
            <v>не надо</v>
          </cell>
          <cell r="AO17">
            <v>1</v>
          </cell>
          <cell r="AP17">
            <v>44238</v>
          </cell>
          <cell r="AQ17">
            <v>0</v>
          </cell>
          <cell r="AR17">
            <v>1</v>
          </cell>
          <cell r="AS17">
            <v>44461</v>
          </cell>
          <cell r="AT17" t="str">
            <v>не надо</v>
          </cell>
          <cell r="AU17" t="str">
            <v>не надо</v>
          </cell>
          <cell r="AV17" t="str">
            <v>не надо</v>
          </cell>
          <cell r="AW17">
            <v>0</v>
          </cell>
          <cell r="AX17">
            <v>44241</v>
          </cell>
          <cell r="AY17">
            <v>0</v>
          </cell>
          <cell r="AZ17">
            <v>0</v>
          </cell>
          <cell r="BA17" t="str">
            <v>8-916-578-50-05</v>
          </cell>
          <cell r="BB17" t="str">
            <v>lapitskyam@gmail.com</v>
          </cell>
          <cell r="BC17" t="str">
            <v>40820810340000312599</v>
          </cell>
          <cell r="BD17" t="str">
            <v>ПАО СБЕРБАНК</v>
          </cell>
          <cell r="BE17" t="str">
            <v>044525225</v>
          </cell>
        </row>
        <row r="18">
          <cell r="A18" t="str">
            <v>Лисицкая Ирина Николаевна</v>
          </cell>
          <cell r="B18" t="str">
            <v>Заместитель генерального директора по персоналу</v>
          </cell>
          <cell r="C18" t="str">
            <v>24.06.1983</v>
          </cell>
          <cell r="D18" t="str">
            <v>РОССИЯ</v>
          </cell>
          <cell r="E18" t="str">
            <v>110605099308</v>
          </cell>
          <cell r="F18" t="str">
            <v>080-166-267 48</v>
          </cell>
          <cell r="G18" t="str">
            <v>Паспорт гражданина РФ</v>
          </cell>
          <cell r="H18" t="str">
            <v>Серия</v>
          </cell>
          <cell r="I18" t="str">
            <v>87 12</v>
          </cell>
          <cell r="J18" t="str">
            <v>Номер</v>
          </cell>
          <cell r="K18" t="str">
            <v>537675</v>
          </cell>
          <cell r="L18" t="str">
            <v>Выдан</v>
          </cell>
          <cell r="M18" t="str">
            <v>09.10.2012</v>
          </cell>
          <cell r="N18" t="str">
            <v>ОТДЕЛЕНИЕМ УФМС РОССИИ ПО РЕСПУБЛИКЕ КОМИ В ГОРОДЕ УСИНСКЕ</v>
          </cell>
          <cell r="O18" t="str">
            <v>110-015</v>
          </cell>
          <cell r="P18" t="str">
            <v>Серия 87 12 Номер 537675,Выдан 09.10.2012 ОТДЕЛЕНИЕМ УФМС РОССИИ ПО РЕСПУБЛИКЕ КОМИ В ГОРОДЕ УСИНСКЕ</v>
          </cell>
          <cell r="Q18" t="str">
            <v>РОССИЯ, 143009, Московская обл, г Одинцово, б-р Любы Новоселовой, д. 10, кв. 7</v>
          </cell>
          <cell r="R18" t="str">
            <v>РОССИЯ, 143009, Московская обл, г Одинцово, б-р Любы Новоселовой, д. 10, кв. 7</v>
          </cell>
          <cell r="S18">
            <v>0</v>
          </cell>
          <cell r="T18" t="str">
            <v>00178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 t="str">
            <v>17.08.2021</v>
          </cell>
          <cell r="AA18" t="str">
            <v>17/08_2021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 t="str">
            <v>8-912-124-67-72</v>
          </cell>
          <cell r="BB18" t="str">
            <v>lin@technoroof.ru</v>
          </cell>
          <cell r="BC18" t="str">
            <v>40817810240019320533</v>
          </cell>
          <cell r="BD18" t="str">
            <v>ПАО СБЕРБАНК</v>
          </cell>
          <cell r="BE18" t="str">
            <v>044525225</v>
          </cell>
        </row>
        <row r="19">
          <cell r="A19" t="str">
            <v>Ляшенко Дмитрий Григорьевич</v>
          </cell>
          <cell r="B19" t="str">
            <v>Помощник кладовщика</v>
          </cell>
          <cell r="C19" t="str">
            <v>22.10.1974</v>
          </cell>
          <cell r="D19" t="str">
            <v>РОССИЯ</v>
          </cell>
          <cell r="E19" t="str">
            <v>503216957970</v>
          </cell>
          <cell r="F19" t="str">
            <v>023-725-805 37</v>
          </cell>
          <cell r="G19" t="str">
            <v>Паспорт гражданина РФ</v>
          </cell>
          <cell r="H19" t="str">
            <v>Серия</v>
          </cell>
          <cell r="I19" t="str">
            <v>46 21</v>
          </cell>
          <cell r="J19" t="str">
            <v>Номер</v>
          </cell>
          <cell r="K19" t="str">
            <v>111894</v>
          </cell>
          <cell r="L19" t="str">
            <v>Выдан</v>
          </cell>
          <cell r="M19" t="str">
            <v>24.04.2021</v>
          </cell>
          <cell r="N19" t="str">
            <v>ГУ МВД РОССИИ ПО МОСКОВСКОЙ ОБЛАСТИ</v>
          </cell>
          <cell r="O19" t="str">
            <v>500-095</v>
          </cell>
          <cell r="P19" t="str">
            <v>Серия 46 21 Номер 111894,Выдан 24.04.2021 ГУ МВД РОССИИ ПО МОСКОВСКОЙ ОБЛАСТИ</v>
          </cell>
          <cell r="Q19" t="str">
            <v>РОССИЯ, 143002, Московская обл, г Одинцово, ул Маршала Неделина, д. 9, кв. 220</v>
          </cell>
          <cell r="R19" t="str">
            <v>РОССИЯ, 143002, Московская обл, г Одинцово, ул Маршала Неделина, д. 9, кв. 220</v>
          </cell>
          <cell r="S19">
            <v>0</v>
          </cell>
          <cell r="T19" t="str">
            <v>00186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 t="str">
            <v>27.08.2021</v>
          </cell>
          <cell r="AA19" t="str">
            <v>27/08-01_2021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 t="str">
            <v>8-977-270-00-51</v>
          </cell>
          <cell r="BB19" t="str">
            <v>ncvd37@yandex.ru</v>
          </cell>
          <cell r="BC19">
            <v>0</v>
          </cell>
          <cell r="BD19">
            <v>0</v>
          </cell>
          <cell r="BE19">
            <v>0</v>
          </cell>
        </row>
        <row r="20">
          <cell r="A20" t="str">
            <v>Москвитин Александр Семенович</v>
          </cell>
          <cell r="B20" t="str">
            <v>Генеральный директор</v>
          </cell>
          <cell r="C20" t="str">
            <v>08.10.1975</v>
          </cell>
          <cell r="D20" t="str">
            <v>РОССИЯ</v>
          </cell>
          <cell r="E20" t="str">
            <v>772608126290</v>
          </cell>
          <cell r="F20" t="str">
            <v>038-527-349 73</v>
          </cell>
          <cell r="G20" t="str">
            <v>Паспорт гражданина РФ</v>
          </cell>
          <cell r="H20" t="str">
            <v>Серия</v>
          </cell>
          <cell r="I20" t="str">
            <v>45 20</v>
          </cell>
          <cell r="J20" t="str">
            <v>Номер</v>
          </cell>
          <cell r="K20" t="str">
            <v>955463</v>
          </cell>
          <cell r="L20" t="str">
            <v>Выдан</v>
          </cell>
          <cell r="M20" t="str">
            <v>22.10.2020</v>
          </cell>
          <cell r="N20" t="str">
            <v>ГУ МВД РОССИИ ПО Г. МОСКВЕ</v>
          </cell>
          <cell r="O20" t="str">
            <v>770-042</v>
          </cell>
          <cell r="P20" t="str">
            <v>Серия 45 20 Номер 955463,Выдан 22.10.2020 ГУ МВД РОССИИ ПО Г. МОСКВЕ</v>
          </cell>
          <cell r="Q20" t="str">
            <v>РОССИЯ, 117648, Москва г, Чертаново Северное мкр, дом 1А, квартира 1022</v>
          </cell>
          <cell r="R20" t="str">
            <v>РОССИЯ, 117648, Москва г, Чертаново Северное мкр, дом 1А, квартира 1022</v>
          </cell>
          <cell r="S20">
            <v>0</v>
          </cell>
          <cell r="T20" t="str">
            <v>0000000332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1</v>
          </cell>
          <cell r="AD20">
            <v>44518</v>
          </cell>
          <cell r="AE20">
            <v>1</v>
          </cell>
          <cell r="AF20">
            <v>44431</v>
          </cell>
          <cell r="AG20" t="str">
            <v>не надо</v>
          </cell>
          <cell r="AH20" t="str">
            <v>не надо</v>
          </cell>
          <cell r="AI20" t="str">
            <v>не надо</v>
          </cell>
          <cell r="AJ20">
            <v>1</v>
          </cell>
          <cell r="AK20">
            <v>43871</v>
          </cell>
          <cell r="AL20" t="str">
            <v>не надо</v>
          </cell>
          <cell r="AM20">
            <v>44510</v>
          </cell>
          <cell r="AN20" t="str">
            <v>не надо</v>
          </cell>
          <cell r="AO20">
            <v>1</v>
          </cell>
          <cell r="AP20">
            <v>44238</v>
          </cell>
          <cell r="AQ20">
            <v>0</v>
          </cell>
          <cell r="AR20" t="str">
            <v>не надо</v>
          </cell>
          <cell r="AS20" t="str">
            <v>не надо</v>
          </cell>
          <cell r="AT20" t="str">
            <v>не надо</v>
          </cell>
          <cell r="AU20" t="str">
            <v>не надо</v>
          </cell>
          <cell r="AV20" t="str">
            <v>не надо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 t="str">
            <v>8-916-283-11-11</v>
          </cell>
          <cell r="BB20">
            <v>0</v>
          </cell>
          <cell r="BC20" t="str">
            <v>40817810640015511328</v>
          </cell>
          <cell r="BD20" t="str">
            <v>ПАО СБЕРБАНК</v>
          </cell>
          <cell r="BE20" t="str">
            <v>044525225</v>
          </cell>
        </row>
        <row r="21">
          <cell r="A21" t="str">
            <v>Москвитина Ольга Сергеевна</v>
          </cell>
          <cell r="B21" t="str">
            <v>Коммерческий директор</v>
          </cell>
          <cell r="C21" t="str">
            <v>02.08.1979</v>
          </cell>
          <cell r="D21" t="str">
            <v>РОССИЯ</v>
          </cell>
          <cell r="E21" t="str">
            <v>633010825795</v>
          </cell>
          <cell r="F21" t="str">
            <v>112-177-835 34</v>
          </cell>
          <cell r="G21" t="str">
            <v>Паспорт гражданина РФ</v>
          </cell>
          <cell r="H21" t="str">
            <v>Серия</v>
          </cell>
          <cell r="I21" t="str">
            <v>45 07</v>
          </cell>
          <cell r="J21" t="str">
            <v>Номер</v>
          </cell>
          <cell r="K21" t="str">
            <v>533708</v>
          </cell>
          <cell r="L21" t="str">
            <v>Выдан</v>
          </cell>
          <cell r="M21" t="str">
            <v>24.09.2004</v>
          </cell>
          <cell r="N21" t="str">
            <v>ОВД "Чертаново Северное" города Москвы</v>
          </cell>
          <cell r="O21" t="str">
            <v>772-006</v>
          </cell>
          <cell r="P21" t="str">
            <v>Серия 45 07 Номер 533708,Выдан 24.09.2004 ОВД "Чертаново Северное" города Москвы</v>
          </cell>
          <cell r="Q21" t="str">
            <v>117208, Москва г, Сумской проезд, дом № 12, корпус 2, кв.590</v>
          </cell>
          <cell r="R21" t="str">
            <v>117208, Москва г, Сумской проезд, дом № 12, корпус 2, кв.590</v>
          </cell>
          <cell r="S21">
            <v>0</v>
          </cell>
          <cell r="T21" t="str">
            <v>0000000032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 t="str">
            <v>15.09.2016</v>
          </cell>
          <cell r="AA21" t="str">
            <v>ТХ-10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 t="str">
            <v>40817810940290035691</v>
          </cell>
          <cell r="BD21" t="str">
            <v>ПАО СБЕРБАНК</v>
          </cell>
          <cell r="BE21" t="str">
            <v>044525225</v>
          </cell>
        </row>
        <row r="22">
          <cell r="A22" t="str">
            <v>Осепенко Владимир Викторович  (сроч.)</v>
          </cell>
          <cell r="B22" t="str">
            <v>Мастер</v>
          </cell>
          <cell r="C22">
            <v>30064</v>
          </cell>
          <cell r="D22" t="str">
            <v>РОССИЯ</v>
          </cell>
          <cell r="E22" t="str">
            <v>343704386913</v>
          </cell>
          <cell r="F22" t="str">
            <v>132-449-633 53</v>
          </cell>
          <cell r="G22" t="str">
            <v>Паспорт гражданина РФ</v>
          </cell>
          <cell r="H22" t="str">
            <v>Серия</v>
          </cell>
          <cell r="I22" t="str">
            <v>18 05</v>
          </cell>
          <cell r="J22" t="str">
            <v>Номер</v>
          </cell>
          <cell r="K22" t="str">
            <v>786321</v>
          </cell>
          <cell r="L22" t="str">
            <v>Выдан</v>
          </cell>
          <cell r="M22" t="str">
            <v>04.04.2006</v>
          </cell>
          <cell r="N22" t="str">
            <v>Михайловский РОВД Волгоградской области</v>
          </cell>
          <cell r="O22" t="str">
            <v>342-027</v>
          </cell>
          <cell r="P22" t="str">
            <v>Серия 18 05 Номер 786321,Выдан 04.04.2006 Михайловский РОВД Волгоградской области</v>
          </cell>
          <cell r="Q22" t="str">
            <v>403334, Волгоградская обл, Михайловский р-н, Совхозная ул</v>
          </cell>
          <cell r="R22" t="str">
            <v>403334, Волгоградская обл, Михайловский р-н, Совхозная ул</v>
          </cell>
          <cell r="S22">
            <v>0</v>
          </cell>
          <cell r="T22" t="str">
            <v>0000000095</v>
          </cell>
          <cell r="U22">
            <v>168</v>
          </cell>
          <cell r="V22" t="str">
            <v>44-46</v>
          </cell>
          <cell r="W22">
            <v>42</v>
          </cell>
          <cell r="X22">
            <v>0</v>
          </cell>
          <cell r="Y22">
            <v>0</v>
          </cell>
          <cell r="Z22" t="str">
            <v>08.06.2017</v>
          </cell>
          <cell r="AA22" t="str">
            <v>ТХ-72</v>
          </cell>
          <cell r="AB22">
            <v>0</v>
          </cell>
          <cell r="AC22">
            <v>1</v>
          </cell>
          <cell r="AD22">
            <v>44518</v>
          </cell>
          <cell r="AE22">
            <v>1</v>
          </cell>
          <cell r="AF22">
            <v>44431</v>
          </cell>
          <cell r="AG22">
            <v>1</v>
          </cell>
          <cell r="AH22">
            <v>44539</v>
          </cell>
          <cell r="AI22" t="str">
            <v>2 группа</v>
          </cell>
          <cell r="AJ22">
            <v>1</v>
          </cell>
          <cell r="AK22">
            <v>44529</v>
          </cell>
          <cell r="AL22" t="str">
            <v>не надо</v>
          </cell>
          <cell r="AM22" t="str">
            <v>не надо</v>
          </cell>
          <cell r="AN22">
            <v>44531</v>
          </cell>
          <cell r="AO22" t="str">
            <v>не надо</v>
          </cell>
          <cell r="AP22" t="str">
            <v>не надо</v>
          </cell>
          <cell r="AQ22" t="str">
            <v>не надо</v>
          </cell>
          <cell r="AR22" t="str">
            <v>не надо</v>
          </cell>
          <cell r="AS22" t="str">
            <v>не надо</v>
          </cell>
          <cell r="AT22">
            <v>1</v>
          </cell>
          <cell r="AU22">
            <v>44410</v>
          </cell>
          <cell r="AV22">
            <v>44525</v>
          </cell>
          <cell r="AW22">
            <v>0</v>
          </cell>
          <cell r="AX22">
            <v>44241</v>
          </cell>
          <cell r="AY22">
            <v>0</v>
          </cell>
          <cell r="AZ22">
            <v>0</v>
          </cell>
          <cell r="BA22" t="str">
            <v>8-985-300-70-67</v>
          </cell>
          <cell r="BB22" t="str">
            <v>ap4536558@gmail.com</v>
          </cell>
          <cell r="BC22" t="str">
            <v>40817810240010747050</v>
          </cell>
          <cell r="BD22" t="str">
            <v>ПАО СБЕРБАНК</v>
          </cell>
          <cell r="BE22" t="str">
            <v>044525225</v>
          </cell>
        </row>
        <row r="23">
          <cell r="A23" t="str">
            <v>Патетько Сергей Геннадьевич</v>
          </cell>
          <cell r="B23" t="str">
            <v>Кладовщик</v>
          </cell>
          <cell r="C23" t="str">
            <v>08.08.1970</v>
          </cell>
          <cell r="D23" t="str">
            <v>РОССИЯ</v>
          </cell>
          <cell r="E23" t="str">
            <v>503214515503</v>
          </cell>
          <cell r="F23" t="str">
            <v>051-714-260 27</v>
          </cell>
          <cell r="G23" t="str">
            <v>Паспорт гражданина РФ</v>
          </cell>
          <cell r="H23" t="str">
            <v>Серия</v>
          </cell>
          <cell r="I23" t="str">
            <v>46 15</v>
          </cell>
          <cell r="J23" t="str">
            <v>Номер</v>
          </cell>
          <cell r="K23" t="str">
            <v>937645</v>
          </cell>
          <cell r="L23" t="str">
            <v>Выдан</v>
          </cell>
          <cell r="M23" t="str">
            <v>02.09.2015</v>
          </cell>
          <cell r="N23" t="str">
            <v xml:space="preserve">ТП №2 МЕЖРАЙОННОГО  ОУФМС РОССИИ ПО МОСКОВСКОЙ ОБЛ. В ГОРОДСКОМ ПОСЕЛЕНИИ ОДИНЦОВО </v>
          </cell>
          <cell r="O23" t="str">
            <v>500-103</v>
          </cell>
          <cell r="P23" t="str">
            <v xml:space="preserve">Серия 46 15 Номер 937645,Выдан 02.09.2015 ТП №2 МЕЖРАЙОННОГО  ОУФМС РОССИИ ПО МОСКОВСКОЙ ОБЛ. В ГОРОДСКОМ ПОСЕЛЕНИИ ОДИНЦОВО </v>
          </cell>
          <cell r="Q23" t="str">
            <v>РОССИЯ, 143002, Московская обл, г Одинцово, ул Маршала Неделина, д. 5, кв. 83</v>
          </cell>
          <cell r="R23" t="str">
            <v>РОССИЯ, 143002, Московская обл, г Одинцово, ул Маршала Неделина, д. 5, кв. 83</v>
          </cell>
          <cell r="S23">
            <v>0</v>
          </cell>
          <cell r="T23" t="str">
            <v>00161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 t="str">
            <v>18.06.2021</v>
          </cell>
          <cell r="AA23" t="str">
            <v>18/06_2021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 t="str">
            <v>8-903-169-40-56</v>
          </cell>
          <cell r="BB23" t="str">
            <v>serega58312@mail.ru</v>
          </cell>
          <cell r="BC23" t="str">
            <v>40817810040003420717</v>
          </cell>
          <cell r="BD23" t="str">
            <v>ПАО СБЕРБАНК</v>
          </cell>
          <cell r="BE23" t="str">
            <v>044525225</v>
          </cell>
        </row>
        <row r="24">
          <cell r="A24" t="str">
            <v>Петров Алексей Константинович</v>
          </cell>
          <cell r="B24" t="str">
            <v>Инженер ПТО</v>
          </cell>
          <cell r="C24" t="str">
            <v>25.12.1998</v>
          </cell>
          <cell r="D24" t="str">
            <v>РОССИЯ</v>
          </cell>
          <cell r="E24" t="str">
            <v>312318617450</v>
          </cell>
          <cell r="F24" t="str">
            <v>149-510-457 67</v>
          </cell>
          <cell r="G24" t="str">
            <v>Паспорт гражданина РФ</v>
          </cell>
          <cell r="H24" t="str">
            <v>Серия</v>
          </cell>
          <cell r="I24" t="str">
            <v>45 19</v>
          </cell>
          <cell r="J24" t="str">
            <v>Номер</v>
          </cell>
          <cell r="K24" t="str">
            <v>008214</v>
          </cell>
          <cell r="L24" t="str">
            <v>Выдан</v>
          </cell>
          <cell r="M24" t="str">
            <v>23.01.2019</v>
          </cell>
          <cell r="N24" t="str">
            <v>ГУ МВД РОССИИ ПО Г. МОСКВЕ</v>
          </cell>
          <cell r="O24" t="str">
            <v>770-063</v>
          </cell>
          <cell r="P24" t="str">
            <v>Серия 45 19 Номер 008214,Выдан 23.01.2019 ГУ МВД РОССИИ ПО Г. МОСКВЕ</v>
          </cell>
          <cell r="Q24" t="str">
            <v>РОССИЯ, 121351, Москва г, ул Молодогвардейская, д. 19, к. 1, кв. 12</v>
          </cell>
          <cell r="R24" t="str">
            <v>РОССИЯ, 121351, Москва г, ул Молодогвардейская, д. 19, к. 1, кв. 12</v>
          </cell>
          <cell r="S24">
            <v>0</v>
          </cell>
          <cell r="T24" t="str">
            <v>00196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 t="str">
            <v>22.09.2021</v>
          </cell>
          <cell r="AA24" t="str">
            <v>22/809_2021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 t="str">
            <v>8-916-540-65-68</v>
          </cell>
          <cell r="BB24" t="str">
            <v>petrov.petrov-alex2017@yandex.ru</v>
          </cell>
          <cell r="BC24" t="str">
            <v>40817810238119035536</v>
          </cell>
          <cell r="BD24" t="str">
            <v>ПАО СБЕРБАНК</v>
          </cell>
          <cell r="BE24" t="str">
            <v>044525225</v>
          </cell>
        </row>
        <row r="25">
          <cell r="A25" t="str">
            <v>Ракитин Сергей Александрович</v>
          </cell>
          <cell r="B25" t="str">
            <v>Кровельщик</v>
          </cell>
          <cell r="C25" t="str">
            <v>13.11.1981</v>
          </cell>
          <cell r="D25" t="str">
            <v>БЕЛАРУСЬ</v>
          </cell>
          <cell r="E25" t="str">
            <v>772423157761</v>
          </cell>
          <cell r="F25" t="str">
            <v>198-572-533 32</v>
          </cell>
          <cell r="G25" t="str">
            <v>Иностранный паспорт</v>
          </cell>
          <cell r="H25" t="str">
            <v>Серия</v>
          </cell>
          <cell r="I25" t="str">
            <v xml:space="preserve">КВ </v>
          </cell>
          <cell r="J25" t="str">
            <v>Номер</v>
          </cell>
          <cell r="K25" t="str">
            <v>2442503</v>
          </cell>
          <cell r="L25" t="str">
            <v>Выдан</v>
          </cell>
          <cell r="M25" t="str">
            <v>13.08.2019</v>
          </cell>
          <cell r="N25" t="str">
            <v>Октябрьское РОВД г. Могилева</v>
          </cell>
          <cell r="O25">
            <v>0</v>
          </cell>
          <cell r="P25" t="str">
            <v>Серия КВ  Номер 2442503,Выдан 13.08.2019 Октябрьское РОВД г. Могилева</v>
          </cell>
          <cell r="Q25" t="str">
            <v>РОССИЯ, Москва г, Маршала Василевского ул, дом 13, корпус 1, квартира 28</v>
          </cell>
          <cell r="R25" t="str">
            <v>РОССИЯ, Москва г, Маршала Василевского ул, дом 13, корпус 1, квартира 28</v>
          </cell>
          <cell r="S25">
            <v>0</v>
          </cell>
          <cell r="T25" t="str">
            <v>00138</v>
          </cell>
          <cell r="U25">
            <v>175</v>
          </cell>
          <cell r="V25" t="str">
            <v>48-50</v>
          </cell>
          <cell r="W25">
            <v>43</v>
          </cell>
          <cell r="X25">
            <v>0</v>
          </cell>
          <cell r="Y25">
            <v>0</v>
          </cell>
          <cell r="Z25" t="str">
            <v>11.02.2021</v>
          </cell>
          <cell r="AA25" t="str">
            <v>11_02/6/2021</v>
          </cell>
          <cell r="AB25">
            <v>0</v>
          </cell>
          <cell r="AC25">
            <v>1</v>
          </cell>
          <cell r="AD25">
            <v>44238</v>
          </cell>
          <cell r="AE25">
            <v>0</v>
          </cell>
          <cell r="AF25">
            <v>0</v>
          </cell>
          <cell r="AG25" t="str">
            <v>не надо</v>
          </cell>
          <cell r="AH25" t="str">
            <v>не надо</v>
          </cell>
          <cell r="AI25" t="str">
            <v>не надо</v>
          </cell>
          <cell r="AJ25">
            <v>1</v>
          </cell>
          <cell r="AK25">
            <v>44238</v>
          </cell>
          <cell r="AL25" t="str">
            <v>не надо</v>
          </cell>
          <cell r="AM25" t="str">
            <v>не надо</v>
          </cell>
          <cell r="AN25" t="str">
            <v>не надо</v>
          </cell>
          <cell r="AO25" t="str">
            <v>не надо</v>
          </cell>
          <cell r="AP25" t="str">
            <v>не надо</v>
          </cell>
          <cell r="AQ25" t="str">
            <v>не надо</v>
          </cell>
          <cell r="AR25" t="str">
            <v>не надо</v>
          </cell>
          <cell r="AS25" t="str">
            <v>не надо</v>
          </cell>
          <cell r="AT25">
            <v>0</v>
          </cell>
          <cell r="AU25" t="str">
            <v>нет,штат</v>
          </cell>
          <cell r="AV25">
            <v>0</v>
          </cell>
          <cell r="AW25">
            <v>0</v>
          </cell>
          <cell r="AX25">
            <v>44241</v>
          </cell>
          <cell r="AY25">
            <v>0</v>
          </cell>
          <cell r="AZ25">
            <v>0</v>
          </cell>
          <cell r="BA25" t="str">
            <v>8-999-819-84-53</v>
          </cell>
          <cell r="BB25" t="str">
            <v>serg33g@yandex.ru</v>
          </cell>
          <cell r="BC25" t="str">
            <v>40820810138187901970</v>
          </cell>
          <cell r="BD25" t="str">
            <v>ПАО СБЕРБАНК</v>
          </cell>
          <cell r="BE25" t="str">
            <v>044525225</v>
          </cell>
        </row>
        <row r="26">
          <cell r="A26" t="str">
            <v>Раметов Руслан Базарбаевич</v>
          </cell>
          <cell r="B26" t="str">
            <v>Подсобный рабочий</v>
          </cell>
          <cell r="C26">
            <v>32346</v>
          </cell>
          <cell r="D26" t="str">
            <v>УЗБЕКИСТАН</v>
          </cell>
          <cell r="E26" t="str">
            <v>667804948794</v>
          </cell>
          <cell r="F26" t="str">
            <v>195-970-299 36</v>
          </cell>
          <cell r="G26" t="str">
            <v>Иностранный паспорт</v>
          </cell>
          <cell r="H26" t="str">
            <v>Серия</v>
          </cell>
          <cell r="I26" t="str">
            <v>КА</v>
          </cell>
          <cell r="J26" t="str">
            <v>Номер</v>
          </cell>
          <cell r="K26" t="str">
            <v>0169971</v>
          </cell>
          <cell r="L26" t="str">
            <v>Выдан</v>
          </cell>
          <cell r="M26" t="str">
            <v>06.04.2014</v>
          </cell>
          <cell r="N26" t="str">
            <v>Государственный центр персонизации Республика Каракалпакста Канлыкульский РОВД</v>
          </cell>
          <cell r="O26">
            <v>0</v>
          </cell>
          <cell r="P26" t="str">
            <v>Серия КА Номер 0169971,Выдан 06.04.2014 Государственный центр персонизации Республика Каракалпакста Канлыкульский РОВД</v>
          </cell>
          <cell r="Q26" t="str">
            <v>РОССИЯ, 107113, Москва г, ул Сокольнический Вал, д. 1Ж, стр. 4</v>
          </cell>
          <cell r="R26" t="str">
            <v>РОССИЯ, 107113, Москва г, ул Сокольнический Вал, д. 1Ж, стр. 4</v>
          </cell>
          <cell r="S26" t="str">
            <v>Патент: серия 77 №2104331988 16.09.2021 Отдел внешней трудовой миграции УВМ ГУ МВД России по Москве</v>
          </cell>
          <cell r="T26" t="str">
            <v>00198</v>
          </cell>
          <cell r="U26">
            <v>185</v>
          </cell>
          <cell r="V26" t="str">
            <v>48-50</v>
          </cell>
          <cell r="W26">
            <v>42</v>
          </cell>
          <cell r="X26">
            <v>0</v>
          </cell>
          <cell r="Y26">
            <v>0</v>
          </cell>
          <cell r="Z26" t="str">
            <v>23.09.2021</v>
          </cell>
          <cell r="AA26" t="str">
            <v>23/09/1_2021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 t="str">
            <v>не надо</v>
          </cell>
          <cell r="AH26" t="str">
            <v>не надо</v>
          </cell>
          <cell r="AI26" t="str">
            <v>не надо</v>
          </cell>
          <cell r="AJ26">
            <v>0</v>
          </cell>
          <cell r="AK26">
            <v>0</v>
          </cell>
          <cell r="AL26" t="str">
            <v>не надо</v>
          </cell>
          <cell r="AM26" t="str">
            <v>не надо</v>
          </cell>
          <cell r="AN26" t="str">
            <v>не надо</v>
          </cell>
          <cell r="AO26" t="str">
            <v>не надо</v>
          </cell>
          <cell r="AP26" t="str">
            <v>не надо</v>
          </cell>
          <cell r="AQ26" t="str">
            <v>не надо</v>
          </cell>
          <cell r="AR26" t="str">
            <v>не надо</v>
          </cell>
          <cell r="AS26" t="str">
            <v>не надо</v>
          </cell>
          <cell r="AT26" t="str">
            <v>не надо</v>
          </cell>
          <cell r="AU26" t="str">
            <v>не надо</v>
          </cell>
          <cell r="AV26" t="str">
            <v>не надо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 t="str">
            <v>8-916-385-62-42</v>
          </cell>
          <cell r="BB26">
            <v>0</v>
          </cell>
          <cell r="BC26" t="str">
            <v>40820810638120293967</v>
          </cell>
          <cell r="BD26" t="str">
            <v>ПАО СБЕРБАНК</v>
          </cell>
          <cell r="BE26" t="str">
            <v>044525225</v>
          </cell>
        </row>
        <row r="27">
          <cell r="A27" t="str">
            <v>Сагийдуллаев Шарапат Омарович</v>
          </cell>
          <cell r="B27" t="str">
            <v>Гидроизолировщик</v>
          </cell>
          <cell r="C27">
            <v>32097</v>
          </cell>
          <cell r="D27" t="str">
            <v>УЗБЕКИСТАН</v>
          </cell>
          <cell r="E27" t="str">
            <v>504725732933</v>
          </cell>
          <cell r="F27" t="str">
            <v>206-944-369 79</v>
          </cell>
          <cell r="G27" t="str">
            <v>Иностранный паспорт</v>
          </cell>
          <cell r="H27" t="str">
            <v>Серия</v>
          </cell>
          <cell r="I27" t="str">
            <v>FK</v>
          </cell>
          <cell r="J27" t="str">
            <v>Номер</v>
          </cell>
          <cell r="K27" t="str">
            <v>0145044</v>
          </cell>
          <cell r="L27" t="str">
            <v>Выдан</v>
          </cell>
          <cell r="M27" t="str">
            <v>11.05.2021</v>
          </cell>
          <cell r="N27" t="str">
            <v>МВД 35218</v>
          </cell>
          <cell r="O27">
            <v>0</v>
          </cell>
          <cell r="P27" t="str">
            <v>Серия FK Номер 0145044,Выдан 11.05.2021 МВД 35218</v>
          </cell>
          <cell r="Q27" t="str">
            <v>РОССИЯ, 108820, Москва г, п Мосрентген, д Мамыри, д. 3В, ком. 110</v>
          </cell>
          <cell r="R27" t="str">
            <v>РОССИЯ, 108820, Москва г, п Мосрентген, д Мамыри, д. 3В, ком. 110</v>
          </cell>
          <cell r="S27" t="str">
            <v>Патент: серия77№2103021430  22.07.2021 Отдел внешней трудовой миграции УВМ ГУ МВД России по Москве</v>
          </cell>
          <cell r="T27" t="str">
            <v>00195</v>
          </cell>
          <cell r="U27">
            <v>170</v>
          </cell>
          <cell r="V27" t="str">
            <v>46-48</v>
          </cell>
          <cell r="W27">
            <v>41</v>
          </cell>
          <cell r="X27">
            <v>0</v>
          </cell>
          <cell r="Y27">
            <v>0</v>
          </cell>
          <cell r="Z27" t="str">
            <v>20.09.2020</v>
          </cell>
          <cell r="AA27" t="str">
            <v>20/09_2021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 t="str">
            <v>не надо</v>
          </cell>
          <cell r="AH27" t="str">
            <v>не надо</v>
          </cell>
          <cell r="AI27" t="str">
            <v>не надо</v>
          </cell>
          <cell r="AJ27">
            <v>0</v>
          </cell>
          <cell r="AK27">
            <v>0</v>
          </cell>
          <cell r="AL27" t="str">
            <v>не надо</v>
          </cell>
          <cell r="AM27" t="str">
            <v>не надо</v>
          </cell>
          <cell r="AN27" t="str">
            <v>не надо</v>
          </cell>
          <cell r="AO27" t="str">
            <v>не надо</v>
          </cell>
          <cell r="AP27" t="str">
            <v>не надо</v>
          </cell>
          <cell r="AQ27" t="str">
            <v>не надо</v>
          </cell>
          <cell r="AR27" t="str">
            <v>не надо</v>
          </cell>
          <cell r="AS27" t="str">
            <v>не надо</v>
          </cell>
          <cell r="AT27">
            <v>1</v>
          </cell>
          <cell r="AU27" t="str">
            <v>Изолировщик 5 разряд, 09.12.2021</v>
          </cell>
          <cell r="AV27">
            <v>0</v>
          </cell>
          <cell r="AW27" t="str">
            <v>Изолировщик 5 разряд, 09.12.2021</v>
          </cell>
          <cell r="AX27">
            <v>0</v>
          </cell>
          <cell r="AY27">
            <v>0</v>
          </cell>
          <cell r="AZ27">
            <v>0</v>
          </cell>
          <cell r="BA27" t="str">
            <v>8-917-513-12-26</v>
          </cell>
          <cell r="BB27" t="str">
            <v>sharap_87_87@mail.ru</v>
          </cell>
          <cell r="BC27" t="str">
            <v>40820810440100116333</v>
          </cell>
          <cell r="BD27" t="str">
            <v>ПАО СБЕРБАНК</v>
          </cell>
          <cell r="BE27" t="str">
            <v>044525225</v>
          </cell>
        </row>
        <row r="28">
          <cell r="A28" t="str">
            <v>Самадов Шарафиддин Эшмаматович</v>
          </cell>
          <cell r="B28" t="str">
            <v>Подсобный рабочий</v>
          </cell>
          <cell r="C28" t="str">
            <v>15.07.1978</v>
          </cell>
          <cell r="D28" t="str">
            <v>УЗБЕКИСТАН</v>
          </cell>
          <cell r="E28" t="str">
            <v>770979271929</v>
          </cell>
          <cell r="F28" t="str">
            <v>206-177-332 45</v>
          </cell>
          <cell r="G28" t="str">
            <v>Иностранный паспорт</v>
          </cell>
          <cell r="H28" t="str">
            <v>Серия</v>
          </cell>
          <cell r="I28" t="str">
            <v>АВ</v>
          </cell>
          <cell r="J28" t="str">
            <v>Номер</v>
          </cell>
          <cell r="K28" t="str">
            <v>8331760</v>
          </cell>
          <cell r="L28" t="str">
            <v>Выдан</v>
          </cell>
          <cell r="M28" t="str">
            <v>14.12.2017</v>
          </cell>
          <cell r="N28" t="str">
            <v xml:space="preserve">ОВД ДЕНАУСКОГО РАЙОНА СУХАДАРЬИНСКОЙ ОБЛАСТИ </v>
          </cell>
          <cell r="O28">
            <v>0</v>
          </cell>
          <cell r="P28" t="str">
            <v xml:space="preserve">Серия АВ Номер 8331760,Выдан 14.12.2017 ОВД ДЕНАУСКОГО РАЙОНА СУХАДАРЬИНСКОЙ ОБЛАСТИ </v>
          </cell>
          <cell r="Q28" t="str">
            <v>РОССИЯ, 117335, Москва г, ул Архитектора Власова, д. 6</v>
          </cell>
          <cell r="R28" t="str">
            <v>РОССИЯ, 117335, Москва г, ул Архитектора Власова, д. 6</v>
          </cell>
          <cell r="S28" t="str">
            <v>Патент 77 №2105466138 от 27.10.2021 Отдел внешней трудовой миграции УВМ ГУ МВД России по Москве</v>
          </cell>
          <cell r="T28" t="str">
            <v>00189</v>
          </cell>
          <cell r="U28">
            <v>176</v>
          </cell>
          <cell r="V28">
            <v>56</v>
          </cell>
          <cell r="W28">
            <v>43</v>
          </cell>
          <cell r="X28">
            <v>0</v>
          </cell>
          <cell r="Y28">
            <v>0</v>
          </cell>
          <cell r="Z28" t="str">
            <v>13.09.2021</v>
          </cell>
          <cell r="AA28" t="str">
            <v>13/09/1_2021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 t="str">
            <v>не надо</v>
          </cell>
          <cell r="AH28" t="str">
            <v>не надо</v>
          </cell>
          <cell r="AI28" t="str">
            <v>не надо</v>
          </cell>
          <cell r="AJ28">
            <v>0</v>
          </cell>
          <cell r="AK28">
            <v>0</v>
          </cell>
          <cell r="AL28" t="str">
            <v>не надо</v>
          </cell>
          <cell r="AM28" t="str">
            <v>не надо</v>
          </cell>
          <cell r="AN28" t="str">
            <v>не надо</v>
          </cell>
          <cell r="AO28" t="str">
            <v>не надо</v>
          </cell>
          <cell r="AP28" t="str">
            <v>не надо</v>
          </cell>
          <cell r="AQ28" t="str">
            <v>не надо</v>
          </cell>
          <cell r="AR28" t="str">
            <v>не надо</v>
          </cell>
          <cell r="AS28" t="str">
            <v>не надо</v>
          </cell>
          <cell r="AT28" t="str">
            <v>не надо</v>
          </cell>
          <cell r="AU28" t="str">
            <v>не надо</v>
          </cell>
          <cell r="AV28" t="str">
            <v>не надо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 t="str">
            <v>8-969-014-70-01</v>
          </cell>
          <cell r="BB28">
            <v>0</v>
          </cell>
          <cell r="BC28" t="str">
            <v>40820810838264455403</v>
          </cell>
          <cell r="BD28" t="str">
            <v>ПАО СБЕРБАНК</v>
          </cell>
          <cell r="BE28" t="str">
            <v>044525225</v>
          </cell>
        </row>
        <row r="29">
          <cell r="A29" t="str">
            <v>Старостина Наталья Юрьевна</v>
          </cell>
          <cell r="B29" t="str">
            <v>Аналитик</v>
          </cell>
          <cell r="C29" t="str">
            <v>26.12.1975</v>
          </cell>
          <cell r="D29" t="str">
            <v>РОССИЯ</v>
          </cell>
          <cell r="E29" t="str">
            <v>773122609896</v>
          </cell>
          <cell r="F29" t="str">
            <v>048-738-183 98</v>
          </cell>
          <cell r="G29" t="str">
            <v>Паспорт гражданина РФ</v>
          </cell>
          <cell r="H29" t="str">
            <v>Серия</v>
          </cell>
          <cell r="I29" t="str">
            <v>45 21</v>
          </cell>
          <cell r="J29" t="str">
            <v>Номер</v>
          </cell>
          <cell r="K29" t="str">
            <v>156717</v>
          </cell>
          <cell r="L29" t="str">
            <v>Выдан</v>
          </cell>
          <cell r="M29" t="str">
            <v>09.02.2021</v>
          </cell>
          <cell r="N29" t="str">
            <v>ГУ МВД России по г. Москве</v>
          </cell>
          <cell r="O29" t="str">
            <v>770-063</v>
          </cell>
          <cell r="P29" t="str">
            <v>Серия 45 21 Номер 156717,Выдан 09.02.2021 ГУ МВД России по г. Москве</v>
          </cell>
          <cell r="Q29" t="str">
            <v>РОССИЯ, 121351, Москва г, ул Ивана Франко, д. 32, к. 1, кв. 373</v>
          </cell>
          <cell r="R29" t="str">
            <v>РОССИЯ, 121351, Москва г, ул Ивана Франко, д. 32, к. 1, кв. 373</v>
          </cell>
          <cell r="S29">
            <v>0</v>
          </cell>
          <cell r="T29" t="str">
            <v>00217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 t="str">
            <v>24.11.2021</v>
          </cell>
          <cell r="AA29" t="str">
            <v>24/11-3_2021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 t="str">
            <v>+7 (916) 604-62-89</v>
          </cell>
          <cell r="BB29" t="str">
            <v>ParusN14@yandex.ru</v>
          </cell>
          <cell r="BC29" t="str">
            <v>40817810040003948875</v>
          </cell>
          <cell r="BD29" t="str">
            <v>ПАО СБЕРБАНК</v>
          </cell>
          <cell r="BE29" t="str">
            <v>044525225</v>
          </cell>
        </row>
        <row r="30">
          <cell r="A30" t="str">
            <v>Супрунова Елена Юрьевна</v>
          </cell>
          <cell r="B30" t="str">
            <v>Заместитель генерального директора по финансам и экономике</v>
          </cell>
          <cell r="C30" t="str">
            <v>17.03.1982</v>
          </cell>
          <cell r="D30" t="str">
            <v>РОССИЯ</v>
          </cell>
          <cell r="E30" t="str">
            <v>771881605140</v>
          </cell>
          <cell r="F30" t="str">
            <v>053-653-349 59</v>
          </cell>
          <cell r="G30" t="str">
            <v>Паспорт гражданина РФ</v>
          </cell>
          <cell r="H30" t="str">
            <v>Серия</v>
          </cell>
          <cell r="I30" t="str">
            <v>46 06</v>
          </cell>
          <cell r="J30" t="str">
            <v>Номер</v>
          </cell>
          <cell r="K30" t="str">
            <v>519430</v>
          </cell>
          <cell r="L30" t="str">
            <v>Выдан</v>
          </cell>
          <cell r="M30" t="str">
            <v>25.10.2005</v>
          </cell>
          <cell r="N30" t="str">
            <v xml:space="preserve">Отделом внутренних дел г.Звенигорода УВД Одинцовского района Московской области </v>
          </cell>
          <cell r="O30" t="str">
            <v>502-016</v>
          </cell>
          <cell r="P30" t="str">
            <v xml:space="preserve">Серия 46 06 Номер 519430,Выдан 25.10.2005 Отделом внутренних дел г.Звенигорода УВД Одинцовского района Московской области </v>
          </cell>
          <cell r="Q30" t="str">
            <v>143057, Московская обл, Одинцовский р-н, Каринское с, дом № 9, кв.52</v>
          </cell>
          <cell r="R30" t="str">
            <v>143057, Московская обл, Одинцовский р-н, Каринское с, дом № 9, кв.52</v>
          </cell>
          <cell r="S30">
            <v>0</v>
          </cell>
          <cell r="T30" t="str">
            <v>0000000014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01.08.2014</v>
          </cell>
          <cell r="AA30" t="str">
            <v>14/08/2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 t="str">
            <v>8-964-796-53-84</v>
          </cell>
          <cell r="BB30" t="str">
            <v>texnology12@gmail.com</v>
          </cell>
          <cell r="BC30" t="str">
            <v>40817810340016112288</v>
          </cell>
          <cell r="BD30" t="str">
            <v>ПАО СБЕРБАНК</v>
          </cell>
          <cell r="BE30" t="str">
            <v>044525225</v>
          </cell>
        </row>
        <row r="31">
          <cell r="A31" t="str">
            <v>Турсинбеков Исламбек Адилбай ули</v>
          </cell>
          <cell r="B31" t="str">
            <v>Подсобный рабочий</v>
          </cell>
          <cell r="C31">
            <v>34984</v>
          </cell>
          <cell r="D31" t="str">
            <v>УЗБЕКИСТАН</v>
          </cell>
          <cell r="E31" t="str">
            <v>504722806993</v>
          </cell>
          <cell r="F31" t="str">
            <v>202-667-030 31</v>
          </cell>
          <cell r="G31" t="str">
            <v>Иностранный паспорт</v>
          </cell>
          <cell r="H31" t="str">
            <v>Серия</v>
          </cell>
          <cell r="I31" t="str">
            <v>КА</v>
          </cell>
          <cell r="J31" t="str">
            <v>Номер</v>
          </cell>
          <cell r="K31" t="str">
            <v>0095007</v>
          </cell>
          <cell r="L31" t="str">
            <v>Выдан</v>
          </cell>
          <cell r="M31" t="str">
            <v>19.12.2013</v>
          </cell>
          <cell r="N31" t="str">
            <v>Государственный центр персонализации</v>
          </cell>
          <cell r="O31">
            <v>0</v>
          </cell>
          <cell r="P31" t="str">
            <v>Серия КА Номер 0095007,Выдан 19.12.2013 Государственный центр персонализации</v>
          </cell>
          <cell r="Q31" t="str">
            <v>РОССИЯ, 121500, Москва г, ул 3-я Мякининская, д. 32А</v>
          </cell>
          <cell r="R31" t="str">
            <v>РОССИЯ, 121500, Москва г, ул 3-я Мякининская, д. 32А</v>
          </cell>
          <cell r="S31" t="str">
            <v>Патент: серия 77 №2105803295 16.11.2021 Отдел внешней трудовой миграции УВМ ГУ МВД России по Москве</v>
          </cell>
          <cell r="T31" t="str">
            <v>00218</v>
          </cell>
          <cell r="U31">
            <v>185</v>
          </cell>
          <cell r="V31">
            <v>56</v>
          </cell>
          <cell r="W31">
            <v>44</v>
          </cell>
          <cell r="X31">
            <v>0</v>
          </cell>
          <cell r="Y31">
            <v>0</v>
          </cell>
          <cell r="Z31" t="str">
            <v>24.11.2021</v>
          </cell>
          <cell r="AA31" t="str">
            <v>24/11-2_2021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 t="str">
            <v>не надо</v>
          </cell>
          <cell r="AH31" t="str">
            <v>не надо</v>
          </cell>
          <cell r="AI31" t="str">
            <v>не надо</v>
          </cell>
          <cell r="AJ31">
            <v>0</v>
          </cell>
          <cell r="AK31">
            <v>0</v>
          </cell>
          <cell r="AL31" t="str">
            <v>не надо</v>
          </cell>
          <cell r="AM31" t="str">
            <v>не надо</v>
          </cell>
          <cell r="AN31" t="str">
            <v>не надо</v>
          </cell>
          <cell r="AO31" t="str">
            <v>не надо</v>
          </cell>
          <cell r="AP31" t="str">
            <v>не надо</v>
          </cell>
          <cell r="AQ31" t="str">
            <v>не надо</v>
          </cell>
          <cell r="AR31" t="str">
            <v>не надо</v>
          </cell>
          <cell r="AS31" t="str">
            <v>не надо</v>
          </cell>
          <cell r="AT31" t="str">
            <v>не надо</v>
          </cell>
          <cell r="AU31" t="str">
            <v>не надо</v>
          </cell>
          <cell r="AV31" t="str">
            <v>не надо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 t="str">
            <v>8-961-158-59-39</v>
          </cell>
          <cell r="BB31">
            <v>0</v>
          </cell>
          <cell r="BC31" t="str">
            <v>40820810140011456356</v>
          </cell>
          <cell r="BD31" t="str">
            <v>ПАО СБЕРБАНК</v>
          </cell>
          <cell r="BE31" t="str">
            <v>044525225</v>
          </cell>
        </row>
        <row r="32">
          <cell r="A32" t="str">
            <v>Уразбаев Рустем Шарибаевич</v>
          </cell>
          <cell r="B32" t="str">
            <v>Подсобный рабочий</v>
          </cell>
          <cell r="C32">
            <v>28875</v>
          </cell>
          <cell r="D32" t="str">
            <v>УЗБЕКИСТАН</v>
          </cell>
          <cell r="E32" t="str">
            <v>504721805676</v>
          </cell>
          <cell r="F32" t="str">
            <v>197-719-954 52</v>
          </cell>
          <cell r="G32" t="str">
            <v>Иностранный паспорт</v>
          </cell>
          <cell r="H32" t="str">
            <v>Серия</v>
          </cell>
          <cell r="I32" t="str">
            <v>FK</v>
          </cell>
          <cell r="J32" t="str">
            <v>Номер</v>
          </cell>
          <cell r="K32" t="str">
            <v>0089793</v>
          </cell>
          <cell r="L32" t="str">
            <v>Выдан</v>
          </cell>
          <cell r="M32" t="str">
            <v>10.02.2021</v>
          </cell>
          <cell r="N32" t="str">
            <v xml:space="preserve">Республика Каракалпакстан </v>
          </cell>
          <cell r="O32" t="str">
            <v>MIA35218</v>
          </cell>
          <cell r="P32" t="str">
            <v xml:space="preserve">Серия FK Номер 0089793,Выдан 10.02.2021 Республика Каракалпакстан </v>
          </cell>
          <cell r="Q32" t="str">
            <v>РОССИЯ, 121500, Москва г, ул 3-я Мякининская, д. 32А</v>
          </cell>
          <cell r="R32" t="str">
            <v>РОССИЯ, 121500, Москва г, ул 3-я Мякининская, д. 32А</v>
          </cell>
          <cell r="S32" t="str">
            <v>Патент: серия 77 №2105803626 16.11.2021 Отдел внешней трудовой миграции УВМ ГУ МВД России по Москве</v>
          </cell>
          <cell r="T32" t="str">
            <v>00215</v>
          </cell>
          <cell r="U32">
            <v>175</v>
          </cell>
          <cell r="V32">
            <v>45</v>
          </cell>
          <cell r="W32">
            <v>42</v>
          </cell>
          <cell r="X32">
            <v>0</v>
          </cell>
          <cell r="Y32">
            <v>0</v>
          </cell>
          <cell r="Z32" t="str">
            <v>24.11.2021</v>
          </cell>
          <cell r="AA32" t="str">
            <v>24/11-1_2021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 t="str">
            <v>не надо</v>
          </cell>
          <cell r="AH32" t="str">
            <v>не надо</v>
          </cell>
          <cell r="AI32" t="str">
            <v>не надо</v>
          </cell>
          <cell r="AJ32">
            <v>0</v>
          </cell>
          <cell r="AK32">
            <v>0</v>
          </cell>
          <cell r="AL32" t="str">
            <v>не надо</v>
          </cell>
          <cell r="AM32" t="str">
            <v>не надо</v>
          </cell>
          <cell r="AN32" t="str">
            <v>не надо</v>
          </cell>
          <cell r="AO32" t="str">
            <v>не надо</v>
          </cell>
          <cell r="AP32" t="str">
            <v>не надо</v>
          </cell>
          <cell r="AQ32" t="str">
            <v>не надо</v>
          </cell>
          <cell r="AR32" t="str">
            <v>не надо</v>
          </cell>
          <cell r="AS32" t="str">
            <v>не надо</v>
          </cell>
          <cell r="AT32" t="str">
            <v>не надо</v>
          </cell>
          <cell r="AU32" t="str">
            <v>не надо</v>
          </cell>
          <cell r="AV32" t="str">
            <v>не надо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 t="str">
            <v>8-964-504-46-17</v>
          </cell>
          <cell r="BB32">
            <v>0</v>
          </cell>
          <cell r="BC32" t="str">
            <v>40820810440011281386</v>
          </cell>
          <cell r="BD32" t="str">
            <v>ПАО СБЕРБАНК</v>
          </cell>
          <cell r="BE32" t="str">
            <v>044525225</v>
          </cell>
        </row>
        <row r="33">
          <cell r="A33" t="str">
            <v>Федорова Дарья Александровна</v>
          </cell>
          <cell r="B33" t="str">
            <v>Техник ПТО</v>
          </cell>
          <cell r="C33" t="str">
            <v>15.03.2000</v>
          </cell>
          <cell r="D33" t="str">
            <v>РОССИЯ</v>
          </cell>
          <cell r="E33" t="str">
            <v>366233282098</v>
          </cell>
          <cell r="F33" t="str">
            <v>159-393-837 22</v>
          </cell>
          <cell r="G33" t="str">
            <v>Паспорт гражданина РФ</v>
          </cell>
          <cell r="H33" t="str">
            <v>Серия</v>
          </cell>
          <cell r="I33" t="str">
            <v>45 19</v>
          </cell>
          <cell r="J33" t="str">
            <v>Номер</v>
          </cell>
          <cell r="K33" t="str">
            <v>664321</v>
          </cell>
          <cell r="L33" t="str">
            <v>Выдан</v>
          </cell>
          <cell r="M33" t="str">
            <v>26.03.2020</v>
          </cell>
          <cell r="N33" t="str">
            <v>ГУ МВД РОССИИ ПО Г.МОСКВЕ</v>
          </cell>
          <cell r="O33" t="str">
            <v>770-089</v>
          </cell>
          <cell r="P33" t="str">
            <v>Серия 45 19 Номер 664321,Выдан 26.03.2020 ГУ МВД РОССИИ ПО Г.МОСКВЕ</v>
          </cell>
          <cell r="Q33" t="str">
            <v>РОССИЯ, 394005, Воронежская обл, г Воронеж, ул Мордасовой, д. 3, кв. 36</v>
          </cell>
          <cell r="R33" t="str">
            <v>РОССИЯ, 394005, Воронежская обл, г Воронеж, ул Мордасовой, д. 3, кв. 36</v>
          </cell>
          <cell r="S33">
            <v>0</v>
          </cell>
          <cell r="T33" t="str">
            <v>00185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27.08.2021</v>
          </cell>
          <cell r="AA33" t="str">
            <v>27/08_2021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 t="str">
            <v>8-905-657-22-53</v>
          </cell>
          <cell r="BB33" t="str">
            <v>fedorova.da1503@yandex.ru</v>
          </cell>
          <cell r="BC33" t="str">
            <v>40817810713005381901</v>
          </cell>
          <cell r="BD33" t="str">
            <v>ПАО СБЕРБАНК</v>
          </cell>
          <cell r="BE33" t="str">
            <v>044525225</v>
          </cell>
        </row>
        <row r="34">
          <cell r="A34" t="str">
            <v>Хлань Алексей Юрьевич</v>
          </cell>
          <cell r="B34" t="str">
            <v>Производитель работ</v>
          </cell>
          <cell r="C34" t="str">
            <v>19.02.1987</v>
          </cell>
          <cell r="D34" t="str">
            <v>БЕЛАРУСЬ</v>
          </cell>
          <cell r="E34" t="str">
            <v>772423157440</v>
          </cell>
          <cell r="F34" t="str">
            <v>170-987-967 31</v>
          </cell>
          <cell r="G34" t="str">
            <v>Иностранный паспорт</v>
          </cell>
          <cell r="H34" t="str">
            <v>Серия</v>
          </cell>
          <cell r="I34" t="str">
            <v>KB</v>
          </cell>
          <cell r="J34" t="str">
            <v>Номер</v>
          </cell>
          <cell r="K34" t="str">
            <v>1817295</v>
          </cell>
          <cell r="L34" t="str">
            <v>Выдан</v>
          </cell>
          <cell r="M34" t="str">
            <v>09.02.2012</v>
          </cell>
          <cell r="N34" t="str">
            <v>ОКТЯБРЬСКИМ РОВД Г. МОГИЛЕВА</v>
          </cell>
          <cell r="O34">
            <v>0</v>
          </cell>
          <cell r="P34" t="str">
            <v>Серия KB Номер 1817295,Выдан 09.02.2012 ОКТЯБРЬСКИМ РОВД Г. МОГИЛЕВА</v>
          </cell>
          <cell r="Q34" t="str">
            <v>РОССИЯ, Москва г, Маршала Василевского ул, дом 13, корпус 1, квартира 28</v>
          </cell>
          <cell r="R34" t="str">
            <v>РОССИЯ, Москва г, Маршала Василевского ул, дом 13, корпус 1, квартира 28</v>
          </cell>
          <cell r="S34">
            <v>0</v>
          </cell>
          <cell r="T34" t="str">
            <v>00132</v>
          </cell>
          <cell r="U34">
            <v>187</v>
          </cell>
          <cell r="V34" t="str">
            <v>48-50</v>
          </cell>
          <cell r="W34">
            <v>43</v>
          </cell>
          <cell r="X34">
            <v>0</v>
          </cell>
          <cell r="Y34">
            <v>0</v>
          </cell>
          <cell r="Z34" t="str">
            <v>11.02.2021</v>
          </cell>
          <cell r="AA34" t="str">
            <v>11_02/2021</v>
          </cell>
          <cell r="AB34">
            <v>0</v>
          </cell>
          <cell r="AC34">
            <v>1</v>
          </cell>
          <cell r="AD34">
            <v>44244</v>
          </cell>
          <cell r="AE34">
            <v>1</v>
          </cell>
          <cell r="AF34">
            <v>44431</v>
          </cell>
          <cell r="AG34">
            <v>1</v>
          </cell>
          <cell r="AH34">
            <v>44251</v>
          </cell>
          <cell r="AI34">
            <v>0</v>
          </cell>
          <cell r="AJ34">
            <v>1</v>
          </cell>
          <cell r="AK34">
            <v>44243</v>
          </cell>
          <cell r="AL34" t="str">
            <v>не надо</v>
          </cell>
          <cell r="AM34" t="str">
            <v>не надо</v>
          </cell>
          <cell r="AN34" t="str">
            <v>не надо</v>
          </cell>
          <cell r="AO34" t="str">
            <v>не надо</v>
          </cell>
          <cell r="AP34" t="str">
            <v>не надо</v>
          </cell>
          <cell r="AQ34" t="str">
            <v>не надо</v>
          </cell>
          <cell r="AR34" t="str">
            <v>не надо</v>
          </cell>
          <cell r="AS34" t="str">
            <v>не надо</v>
          </cell>
          <cell r="AT34">
            <v>1</v>
          </cell>
          <cell r="AU34">
            <v>44410</v>
          </cell>
          <cell r="AV34">
            <v>44525</v>
          </cell>
          <cell r="AW34">
            <v>0</v>
          </cell>
          <cell r="AX34">
            <v>44241</v>
          </cell>
          <cell r="AY34">
            <v>0</v>
          </cell>
          <cell r="AZ34">
            <v>0</v>
          </cell>
          <cell r="BA34" t="str">
            <v>8-910-464-52-34</v>
          </cell>
          <cell r="BB34" t="str">
            <v>lexa19021987@gmail.com</v>
          </cell>
          <cell r="BC34" t="str">
            <v>40820810240000337030</v>
          </cell>
          <cell r="BD34" t="str">
            <v>ПАО СБЕРБАНК</v>
          </cell>
          <cell r="BE34" t="str">
            <v>044525225</v>
          </cell>
        </row>
        <row r="35">
          <cell r="A35" t="str">
            <v>Холов Сангали Махмадюнусович</v>
          </cell>
          <cell r="B35" t="str">
            <v>Подсобный рабочий</v>
          </cell>
          <cell r="C35">
            <v>35074</v>
          </cell>
          <cell r="D35" t="str">
            <v>ТАДЖИКИСТАН</v>
          </cell>
          <cell r="E35" t="str">
            <v>502809392976</v>
          </cell>
          <cell r="F35" t="str">
            <v>200-196-268 18</v>
          </cell>
          <cell r="G35" t="str">
            <v>Иностранный паспорт</v>
          </cell>
          <cell r="H35" t="str">
            <v>Серия</v>
          </cell>
          <cell r="I35">
            <v>0</v>
          </cell>
          <cell r="J35" t="str">
            <v>Номер</v>
          </cell>
          <cell r="K35" t="str">
            <v>401424053</v>
          </cell>
          <cell r="L35" t="str">
            <v>Выдан</v>
          </cell>
          <cell r="M35" t="str">
            <v>20.03.2017</v>
          </cell>
          <cell r="N35" t="str">
            <v>ПРС В А. ДЖАМИ ОВД В А. ДЖАМИ</v>
          </cell>
          <cell r="O35">
            <v>0</v>
          </cell>
          <cell r="P35" t="str">
            <v>Серия  Номер 401424053,Выдан 20.03.2017 ПРС В А. ДЖАМИ ОВД В А. ДЖАМИ</v>
          </cell>
          <cell r="Q35" t="str">
            <v>РОССИЯ, 125424, Москва г, ул Тушинская, д. 24, стр. 4</v>
          </cell>
          <cell r="R35" t="str">
            <v>РОССИЯ, 125424, Москва г, ул Тушинская, д. 24, стр. 4</v>
          </cell>
          <cell r="S35" t="str">
            <v>Патент: серия 77 номер 2103695661 от 23.08.2021 Отдел внешней трудовой миграции УВМ ГУ МВД России по Москве</v>
          </cell>
          <cell r="T35" t="str">
            <v>00192</v>
          </cell>
          <cell r="U35">
            <v>175</v>
          </cell>
          <cell r="V35">
            <v>48</v>
          </cell>
          <cell r="W35">
            <v>43</v>
          </cell>
          <cell r="X35">
            <v>0</v>
          </cell>
          <cell r="Y35">
            <v>0</v>
          </cell>
          <cell r="Z35" t="str">
            <v>15.09.2021</v>
          </cell>
          <cell r="AA35" t="str">
            <v>15/09/1_2021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 t="str">
            <v>не надо</v>
          </cell>
          <cell r="AH35" t="str">
            <v>не надо</v>
          </cell>
          <cell r="AI35" t="str">
            <v>не надо</v>
          </cell>
          <cell r="AJ35">
            <v>0</v>
          </cell>
          <cell r="AK35">
            <v>0</v>
          </cell>
          <cell r="AL35" t="str">
            <v>не надо</v>
          </cell>
          <cell r="AM35" t="str">
            <v>не надо</v>
          </cell>
          <cell r="AN35" t="str">
            <v>не надо</v>
          </cell>
          <cell r="AO35" t="str">
            <v>не надо</v>
          </cell>
          <cell r="AP35" t="str">
            <v>не надо</v>
          </cell>
          <cell r="AQ35" t="str">
            <v>не надо</v>
          </cell>
          <cell r="AR35" t="str">
            <v>не надо</v>
          </cell>
          <cell r="AS35" t="str">
            <v>не надо</v>
          </cell>
          <cell r="AT35" t="str">
            <v>не надо</v>
          </cell>
          <cell r="AU35" t="str">
            <v>не надо</v>
          </cell>
          <cell r="AV35" t="str">
            <v>не надо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 t="str">
            <v>8-925-588-75-25</v>
          </cell>
          <cell r="BB35">
            <v>0</v>
          </cell>
          <cell r="BC35" t="str">
            <v>40820810240011455943</v>
          </cell>
          <cell r="BD35" t="str">
            <v>ПАО СБЕРБАНК</v>
          </cell>
          <cell r="BE35" t="str">
            <v>044525225</v>
          </cell>
        </row>
        <row r="36">
          <cell r="A36" t="str">
            <v>Шуберт Юрий Станиславович</v>
          </cell>
          <cell r="B36" t="str">
            <v>Кровельщик</v>
          </cell>
          <cell r="C36" t="str">
            <v>29.01.1975</v>
          </cell>
          <cell r="D36" t="str">
            <v>БЕЛАРУСЬ</v>
          </cell>
          <cell r="E36" t="str">
            <v>770877294980</v>
          </cell>
          <cell r="F36" t="str">
            <v>205-708-119 40</v>
          </cell>
          <cell r="G36" t="str">
            <v>Иностранный паспорт</v>
          </cell>
          <cell r="H36" t="str">
            <v>Серия</v>
          </cell>
          <cell r="I36" t="str">
            <v>КВ</v>
          </cell>
          <cell r="J36" t="str">
            <v>Номер</v>
          </cell>
          <cell r="K36" t="str">
            <v>2459689</v>
          </cell>
          <cell r="L36" t="str">
            <v>Выдан</v>
          </cell>
          <cell r="M36" t="str">
            <v>19.11.2019</v>
          </cell>
          <cell r="N36" t="str">
            <v>ЧАУССКИЙ РОВД МОГИЛЕВСКОЙ ОБЛАСТИ</v>
          </cell>
          <cell r="O36">
            <v>0</v>
          </cell>
          <cell r="P36" t="str">
            <v>Серия КВ Номер 2459689,Выдан 19.11.2019 ЧАУССКИЙ РОВД МОГИЛЕВСКОЙ ОБЛАСТИ</v>
          </cell>
          <cell r="Q36" t="str">
            <v>РОССИЯ, 107140, Москва г, проезд Комсомольской Площади, д. 16</v>
          </cell>
          <cell r="R36" t="str">
            <v>РОССИЯ, 107140, Москва г, проезд Комсомольской Площади, д. 16</v>
          </cell>
          <cell r="S36">
            <v>0</v>
          </cell>
          <cell r="T36" t="str">
            <v>00170</v>
          </cell>
          <cell r="U36">
            <v>180</v>
          </cell>
          <cell r="V36">
            <v>50</v>
          </cell>
          <cell r="W36">
            <v>43</v>
          </cell>
          <cell r="X36">
            <v>0</v>
          </cell>
          <cell r="Y36">
            <v>0</v>
          </cell>
          <cell r="Z36" t="str">
            <v>16.07.2021</v>
          </cell>
          <cell r="AA36" t="str">
            <v>16/07_2021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 t="str">
            <v>не надо</v>
          </cell>
          <cell r="AH36" t="str">
            <v>не надо</v>
          </cell>
          <cell r="AI36" t="str">
            <v>не надо</v>
          </cell>
          <cell r="AJ36">
            <v>0</v>
          </cell>
          <cell r="AK36">
            <v>0</v>
          </cell>
          <cell r="AL36" t="str">
            <v>не надо</v>
          </cell>
          <cell r="AM36" t="str">
            <v>не надо</v>
          </cell>
          <cell r="AN36" t="str">
            <v>не надо</v>
          </cell>
          <cell r="AO36" t="str">
            <v>не надо</v>
          </cell>
          <cell r="AP36" t="str">
            <v>не надо</v>
          </cell>
          <cell r="AQ36" t="str">
            <v>не надо</v>
          </cell>
          <cell r="AR36" t="str">
            <v>не надо</v>
          </cell>
          <cell r="AS36" t="str">
            <v>не надо</v>
          </cell>
          <cell r="AT36">
            <v>0</v>
          </cell>
          <cell r="AU36" t="str">
            <v>нет,штат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 t="str">
            <v>8-977-574-42-27</v>
          </cell>
          <cell r="BB36">
            <v>0</v>
          </cell>
          <cell r="BC36" t="str">
            <v>40820810238120039628</v>
          </cell>
          <cell r="BD36" t="str">
            <v>ПАО СБЕРБАНК</v>
          </cell>
          <cell r="BE36" t="str">
            <v>044525225</v>
          </cell>
        </row>
        <row r="37">
          <cell r="A37" t="str">
            <v>Ибиев Эсен Рабаданович</v>
          </cell>
          <cell r="B37" t="str">
            <v>Кровельщик</v>
          </cell>
          <cell r="C37">
            <v>27074</v>
          </cell>
          <cell r="D37" t="str">
            <v>РОССИЯ</v>
          </cell>
          <cell r="E37" t="str">
            <v>262404188394</v>
          </cell>
          <cell r="F37" t="str">
            <v>085-584-264 05</v>
          </cell>
          <cell r="G37" t="str">
            <v>Паспорт гражданина РФ</v>
          </cell>
          <cell r="H37" t="str">
            <v>Серия</v>
          </cell>
          <cell r="I37" t="str">
            <v>0702</v>
          </cell>
          <cell r="J37" t="str">
            <v>Номер</v>
          </cell>
          <cell r="K37" t="str">
            <v>931823</v>
          </cell>
          <cell r="L37" t="str">
            <v>Выдан</v>
          </cell>
          <cell r="M37" t="str">
            <v>11.04.2002</v>
          </cell>
          <cell r="N37" t="str">
            <v>Отделом внутренних дел гор. Буденновска и Буденновского района Ставрапольского края</v>
          </cell>
          <cell r="O37" t="str">
            <v>262-005</v>
          </cell>
          <cell r="P37" t="str">
            <v>Серия 0702 Номер 931823,Выдан 11.04.2002 Отделом внутренних дел гор. Буденновска и Буденновского района Ставрапольского края</v>
          </cell>
          <cell r="Q37" t="str">
            <v>356897, Ставропольский край, Нефтекумский р-н, Зункарь п, Энтузиастов ул, дом № 20, кв.1</v>
          </cell>
          <cell r="R37" t="str">
            <v>356897, Ставропольский край, Нефтекумский р-н, Зункарь п, Энтузиастов ул, дом № 20, кв.1</v>
          </cell>
          <cell r="S37">
            <v>0</v>
          </cell>
          <cell r="T37" t="str">
            <v>ТХЗК-00143</v>
          </cell>
          <cell r="U37">
            <v>174</v>
          </cell>
          <cell r="V37" t="str">
            <v>52-54</v>
          </cell>
          <cell r="W37">
            <v>44</v>
          </cell>
          <cell r="X37">
            <v>0</v>
          </cell>
          <cell r="Y37">
            <v>0</v>
          </cell>
          <cell r="Z37">
            <v>44500</v>
          </cell>
          <cell r="AA37" t="str">
            <v>16-06/21-ТП-03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44265</v>
          </cell>
          <cell r="AY37">
            <v>0</v>
          </cell>
          <cell r="AZ37">
            <v>0</v>
          </cell>
          <cell r="BA37" t="str">
            <v>8-989-973-21-38</v>
          </cell>
          <cell r="BB37">
            <v>0</v>
          </cell>
          <cell r="BC37" t="str">
            <v>40817810660104422945</v>
          </cell>
          <cell r="BD37" t="str">
            <v>ПАО СБЕРБАНК</v>
          </cell>
          <cell r="BE37" t="str">
            <v>044525225</v>
          </cell>
        </row>
        <row r="38">
          <cell r="A38" t="str">
            <v>Магомедов Магомед Салихович</v>
          </cell>
          <cell r="B38" t="str">
            <v>Кровельщик</v>
          </cell>
          <cell r="C38">
            <v>29612</v>
          </cell>
          <cell r="D38" t="str">
            <v>РОССИЯ</v>
          </cell>
          <cell r="E38" t="str">
            <v>050200733279</v>
          </cell>
          <cell r="F38" t="str">
            <v>169-944-158 29</v>
          </cell>
          <cell r="G38" t="str">
            <v>Паспорт гражданина РФ</v>
          </cell>
          <cell r="H38" t="str">
            <v>Серия</v>
          </cell>
          <cell r="I38">
            <v>8205</v>
          </cell>
          <cell r="J38" t="str">
            <v>Номер</v>
          </cell>
          <cell r="K38" t="str">
            <v>990576</v>
          </cell>
          <cell r="L38" t="str">
            <v>Выдан</v>
          </cell>
          <cell r="M38" t="str">
            <v>16.09.2005</v>
          </cell>
          <cell r="N38" t="str">
            <v>ОТДЕЛОМ ВНУТРЕННИХ ДЕЛ АКУШИНСКОГО РАЙОНА РЕСПУБЛИКЕ ДАГИСТАН</v>
          </cell>
          <cell r="O38" t="str">
            <v>052-013</v>
          </cell>
          <cell r="P38" t="str">
            <v>Серия 8205 Номер 990576,Выдан 16.09.2005 ОТДЕЛОМ ВНУТРЕННИХ ДЕЛ АКУШИНСКОГО РАЙОНА РЕСПУБЛИКЕ ДАГИСТАН</v>
          </cell>
          <cell r="Q38" t="str">
            <v>РОССИЯ, Дагестан респ, р-н Акушинский, с Акуша</v>
          </cell>
          <cell r="R38" t="str">
            <v>РОССИЯ, Дагестан респ, р-н Акушинский, с Акуша</v>
          </cell>
          <cell r="S38">
            <v>0</v>
          </cell>
          <cell r="T38" t="str">
            <v>ТХЗК-00156</v>
          </cell>
          <cell r="U38">
            <v>185</v>
          </cell>
          <cell r="V38">
            <v>52</v>
          </cell>
          <cell r="W38">
            <v>44</v>
          </cell>
          <cell r="X38">
            <v>0</v>
          </cell>
          <cell r="Y38">
            <v>0</v>
          </cell>
          <cell r="Z38">
            <v>44500</v>
          </cell>
          <cell r="AA38" t="str">
            <v>16-06/21-ТП-08</v>
          </cell>
          <cell r="AB38">
            <v>0</v>
          </cell>
          <cell r="AC38">
            <v>1</v>
          </cell>
          <cell r="AD38">
            <v>44378</v>
          </cell>
          <cell r="AE38">
            <v>0</v>
          </cell>
          <cell r="AF38">
            <v>0</v>
          </cell>
          <cell r="AG38" t="str">
            <v>не надо</v>
          </cell>
          <cell r="AH38" t="str">
            <v>не надо</v>
          </cell>
          <cell r="AI38" t="str">
            <v>не надо</v>
          </cell>
          <cell r="AJ38">
            <v>0</v>
          </cell>
          <cell r="AK38">
            <v>0</v>
          </cell>
          <cell r="AL38" t="str">
            <v>не надо</v>
          </cell>
          <cell r="AM38" t="str">
            <v>не надо</v>
          </cell>
          <cell r="AN38" t="str">
            <v>не надо</v>
          </cell>
          <cell r="AO38" t="str">
            <v>не надо</v>
          </cell>
          <cell r="AP38" t="str">
            <v>не надо</v>
          </cell>
          <cell r="AQ38" t="str">
            <v>не надо</v>
          </cell>
          <cell r="AR38" t="str">
            <v>не надо</v>
          </cell>
          <cell r="AS38" t="str">
            <v>не надо</v>
          </cell>
          <cell r="AT38">
            <v>1</v>
          </cell>
          <cell r="AU38" t="str">
            <v>Стропальщик 5 разряда, 10.11.2021</v>
          </cell>
          <cell r="AV38">
            <v>44525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 t="str">
            <v>8-988-223-29-41</v>
          </cell>
          <cell r="BB38" t="str">
            <v>magomed260182@gmail.com</v>
          </cell>
          <cell r="BC38" t="str">
            <v>40817810960322499476</v>
          </cell>
          <cell r="BD38" t="str">
            <v>ПАО СБЕРБАНК</v>
          </cell>
          <cell r="BE38" t="str">
            <v>044525225</v>
          </cell>
        </row>
        <row r="39">
          <cell r="A39" t="str">
            <v>Расулов Шихмагомед Шарапович</v>
          </cell>
          <cell r="B39" t="str">
            <v>Кровельщик</v>
          </cell>
          <cell r="C39">
            <v>28122</v>
          </cell>
          <cell r="D39" t="str">
            <v>РОССИЯ</v>
          </cell>
          <cell r="E39" t="str">
            <v>051486355160</v>
          </cell>
          <cell r="F39" t="str">
            <v>156-996-240 26</v>
          </cell>
          <cell r="G39" t="str">
            <v>Паспорт гражданина РФ</v>
          </cell>
          <cell r="H39" t="str">
            <v>Серия</v>
          </cell>
          <cell r="I39">
            <v>8202</v>
          </cell>
          <cell r="J39" t="str">
            <v>Номер</v>
          </cell>
          <cell r="K39" t="str">
            <v>912463</v>
          </cell>
          <cell r="L39" t="str">
            <v>Выдан</v>
          </cell>
          <cell r="M39" t="str">
            <v>01.11.2012</v>
          </cell>
          <cell r="N39" t="str">
            <v>Отделом внутренних дел Кайтагского района Республики Дагестан</v>
          </cell>
          <cell r="O39" t="str">
            <v>052-023</v>
          </cell>
          <cell r="P39" t="str">
            <v>Серия 8202 Номер 912463,Выдан 01.11.2012 Отделом внутренних дел Кайтагского района Республики Дагестан</v>
          </cell>
          <cell r="Q39" t="str">
            <v>356897, Ставропольский край, Нефтекумский р-н, Зункарь п, Виноградная ул, дом № 2, кв.2</v>
          </cell>
          <cell r="R39" t="str">
            <v>РОССИЯ, 356897, Ставропольский край, Нефтекумский р-н, Зункарь п, Виноградная ул, дом № 2, квартира 2</v>
          </cell>
          <cell r="S39">
            <v>0</v>
          </cell>
          <cell r="T39" t="str">
            <v>ТХЗК-00072</v>
          </cell>
          <cell r="U39">
            <v>165</v>
          </cell>
          <cell r="V39" t="str">
            <v>44-46</v>
          </cell>
          <cell r="W39">
            <v>41</v>
          </cell>
          <cell r="X39">
            <v>0</v>
          </cell>
          <cell r="Y39">
            <v>0</v>
          </cell>
          <cell r="Z39">
            <v>44500</v>
          </cell>
          <cell r="AA39" t="str">
            <v>16-06/21-ТП-05</v>
          </cell>
          <cell r="AB39">
            <v>0</v>
          </cell>
          <cell r="AC39">
            <v>1</v>
          </cell>
          <cell r="AD39">
            <v>44274</v>
          </cell>
          <cell r="AE39">
            <v>0</v>
          </cell>
          <cell r="AF39">
            <v>0</v>
          </cell>
          <cell r="AG39" t="str">
            <v>не надо</v>
          </cell>
          <cell r="AH39" t="str">
            <v>не надо</v>
          </cell>
          <cell r="AI39" t="str">
            <v>не надо</v>
          </cell>
          <cell r="AJ39">
            <v>1</v>
          </cell>
          <cell r="AK39">
            <v>44274</v>
          </cell>
          <cell r="AL39" t="str">
            <v>не надо</v>
          </cell>
          <cell r="AM39" t="str">
            <v>не надо</v>
          </cell>
          <cell r="AN39" t="str">
            <v>не надо</v>
          </cell>
          <cell r="AO39" t="str">
            <v>не надо</v>
          </cell>
          <cell r="AP39" t="str">
            <v>не надо</v>
          </cell>
          <cell r="AQ39" t="str">
            <v>не надо</v>
          </cell>
          <cell r="AR39" t="str">
            <v>не надо</v>
          </cell>
          <cell r="AS39" t="str">
            <v>не надо</v>
          </cell>
          <cell r="AT39">
            <v>0</v>
          </cell>
          <cell r="AU39" t="str">
            <v>нет</v>
          </cell>
          <cell r="AV39">
            <v>0</v>
          </cell>
          <cell r="AW39">
            <v>0</v>
          </cell>
          <cell r="AX39">
            <v>44278</v>
          </cell>
          <cell r="AY39">
            <v>0</v>
          </cell>
          <cell r="AZ39">
            <v>0</v>
          </cell>
          <cell r="BA39" t="str">
            <v>8-988-767-37-80</v>
          </cell>
          <cell r="BB39">
            <v>0</v>
          </cell>
          <cell r="BC39" t="str">
            <v>40817810438173048372</v>
          </cell>
          <cell r="BD39" t="str">
            <v>ПАО СБЕРБАНК</v>
          </cell>
          <cell r="BE39" t="str">
            <v>044525225</v>
          </cell>
        </row>
        <row r="40">
          <cell r="A40" t="str">
            <v xml:space="preserve">Балуев Алексей Александрович </v>
          </cell>
          <cell r="B40" t="str">
            <v>инженер</v>
          </cell>
          <cell r="C40">
            <v>26632</v>
          </cell>
          <cell r="D40" t="str">
            <v>РОССИЯ</v>
          </cell>
          <cell r="E40" t="str">
            <v>772871863909</v>
          </cell>
          <cell r="F40" t="str">
            <v>107-221-621 06</v>
          </cell>
          <cell r="G40" t="str">
            <v>Паспорт гражданина РФ</v>
          </cell>
          <cell r="H40" t="str">
            <v>Серия</v>
          </cell>
          <cell r="I40">
            <v>4518</v>
          </cell>
          <cell r="J40" t="str">
            <v>Номер</v>
          </cell>
          <cell r="K40">
            <v>403284</v>
          </cell>
          <cell r="L40" t="str">
            <v>Выдан</v>
          </cell>
          <cell r="M40">
            <v>43087</v>
          </cell>
          <cell r="N40" t="str">
            <v>отд УФМС России по гор. Москве в пос. Коммунарка</v>
          </cell>
          <cell r="O40" t="str">
            <v>770-142</v>
          </cell>
          <cell r="P40" t="str">
            <v>Серия 4518 Номер 403284,Выдан 18.12.2017 отд УФМС России по гор. Москве в пос. Коммунарка</v>
          </cell>
          <cell r="Q40" t="str">
            <v>Россия г. Москва поселение Сосенское д. Николо- Хованское ул Петра Вяземского д 7 корп 2 кв10</v>
          </cell>
          <cell r="R40" t="str">
            <v>Россия г. Москва поселение Сосенское д. Николо- Хованское ул Петра Вяземского д 7 корп 2 кв10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 t="str">
            <v>8-916-575-14-21</v>
          </cell>
          <cell r="BB40">
            <v>0</v>
          </cell>
          <cell r="BC40" t="str">
            <v xml:space="preserve">марка Хонда Джаз № С618 НВ197 </v>
          </cell>
          <cell r="BD40">
            <v>0</v>
          </cell>
          <cell r="BE40">
            <v>0</v>
          </cell>
        </row>
        <row r="41">
          <cell r="A41" t="str">
            <v>Балуев Семен Алексеевич</v>
          </cell>
          <cell r="B41" t="str">
            <v xml:space="preserve">монтажник- высотник </v>
          </cell>
          <cell r="C41">
            <v>35550</v>
          </cell>
          <cell r="D41" t="str">
            <v>РОССИЯ</v>
          </cell>
          <cell r="E41" t="str">
            <v>772824346741</v>
          </cell>
          <cell r="F41" t="str">
            <v>192-673-725 06</v>
          </cell>
          <cell r="G41" t="str">
            <v>Паспорт гражданина РФ</v>
          </cell>
          <cell r="H41" t="str">
            <v>Серия</v>
          </cell>
          <cell r="I41">
            <v>4518</v>
          </cell>
          <cell r="J41" t="str">
            <v>Номер</v>
          </cell>
          <cell r="K41">
            <v>288612</v>
          </cell>
          <cell r="L41" t="str">
            <v>Выдан</v>
          </cell>
          <cell r="M41">
            <v>42985</v>
          </cell>
          <cell r="N41" t="str">
            <v xml:space="preserve">отд УФМС России по гор Москве по району Ясенево  </v>
          </cell>
          <cell r="O41" t="str">
            <v>770-125</v>
          </cell>
          <cell r="P41" t="str">
            <v xml:space="preserve">Серия 4518 Номер 288612,Выдан 07.09.2017 отд УФМС России по гор Москве по району Ясенево  </v>
          </cell>
          <cell r="Q41" t="str">
            <v xml:space="preserve">Россия г. Москва проезд Одоевского д3 корп 4 кв485 </v>
          </cell>
          <cell r="R41" t="str">
            <v xml:space="preserve">Россия г. Москва проезд Одоевского д3 корп 4 кв485 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 t="str">
            <v>8-915-285-68-35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 t="str">
            <v xml:space="preserve">Быковских Дмитрий Сергеевич </v>
          </cell>
          <cell r="B42" t="str">
            <v xml:space="preserve">монтажник- высотник </v>
          </cell>
          <cell r="C42">
            <v>35369</v>
          </cell>
          <cell r="D42" t="str">
            <v>РОССИЯ</v>
          </cell>
          <cell r="E42" t="str">
            <v>772823795430</v>
          </cell>
          <cell r="F42" t="str">
            <v>196-504-622 92</v>
          </cell>
          <cell r="G42" t="str">
            <v>Паспорт гражданина РФ</v>
          </cell>
          <cell r="H42" t="str">
            <v>Серия</v>
          </cell>
          <cell r="I42">
            <v>4516</v>
          </cell>
          <cell r="J42" t="str">
            <v>Номер</v>
          </cell>
          <cell r="K42">
            <v>922867</v>
          </cell>
          <cell r="L42" t="str">
            <v>Выдан</v>
          </cell>
          <cell r="M42">
            <v>42697</v>
          </cell>
          <cell r="N42" t="str">
            <v>отд УФМС России по гор Москве по районуТеплый Стан</v>
          </cell>
          <cell r="O42" t="str">
            <v>770-122</v>
          </cell>
          <cell r="P42" t="str">
            <v>Серия 4516 Номер 922867,Выдан 23.11.2016 отд УФМС России по гор Москве по районуТеплый Стан</v>
          </cell>
          <cell r="Q42" t="str">
            <v>Россия г. Москва ул. Генерала Тюленва д 33 кв95</v>
          </cell>
          <cell r="R42" t="str">
            <v>Россия г. Москва ул. Генерала Тюленва д 33 кв95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 t="str">
            <v>8-967-037-50-32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 t="str">
            <v xml:space="preserve">Аскандаров Аскандар Лукманович </v>
          </cell>
          <cell r="B43" t="str">
            <v xml:space="preserve">монтажник- высотник </v>
          </cell>
          <cell r="C43">
            <v>29506</v>
          </cell>
          <cell r="D43" t="str">
            <v>РОССИЯ</v>
          </cell>
          <cell r="E43" t="str">
            <v>261302578900</v>
          </cell>
          <cell r="F43" t="str">
            <v>056-726-250 73</v>
          </cell>
          <cell r="G43" t="str">
            <v>Паспорт гражданина РФ</v>
          </cell>
          <cell r="H43" t="str">
            <v>Серия</v>
          </cell>
          <cell r="I43" t="str">
            <v>0713</v>
          </cell>
          <cell r="J43" t="str">
            <v>Номер</v>
          </cell>
          <cell r="K43">
            <v>891172</v>
          </cell>
          <cell r="L43" t="str">
            <v>Выдан</v>
          </cell>
          <cell r="M43">
            <v>41746</v>
          </cell>
          <cell r="N43" t="str">
            <v>отд №3 МРО УФМС России по Ставрапольскому краю в г. Буденновске ( с местом дислокации в с. Левокумское)</v>
          </cell>
          <cell r="O43" t="str">
            <v>260-019</v>
          </cell>
          <cell r="P43" t="str">
            <v>Серия 0713 Номер 891172,Выдан 17.04.2014 отд №3 МРО УФМС России по Ставрапольскому краю в г. Буденновске ( с местом дислокации в с. Левокумское)</v>
          </cell>
          <cell r="Q43" t="str">
            <v>Россия Ставропольский край с Урожайное Левокумский ул Новостройки д2</v>
          </cell>
          <cell r="R43" t="str">
            <v>Россия Ставропольский край с Урожайное Левокумский ул Новостройки д3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 t="str">
            <v>8-929-513-77-77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 t="str">
            <v>Гусейнов Максим Гираевич</v>
          </cell>
          <cell r="B44" t="str">
            <v xml:space="preserve">монтажник- высотник </v>
          </cell>
          <cell r="C44">
            <v>30191</v>
          </cell>
          <cell r="D44" t="str">
            <v>РОССИЯ</v>
          </cell>
          <cell r="E44" t="str">
            <v>056297097466</v>
          </cell>
          <cell r="F44">
            <v>0</v>
          </cell>
          <cell r="G44" t="str">
            <v>Паспорт гражданина РФ</v>
          </cell>
          <cell r="H44" t="str">
            <v>Серия</v>
          </cell>
          <cell r="I44">
            <v>4512</v>
          </cell>
          <cell r="J44" t="str">
            <v>Номер</v>
          </cell>
          <cell r="K44">
            <v>860746</v>
          </cell>
          <cell r="L44" t="str">
            <v>Выдан</v>
          </cell>
          <cell r="M44">
            <v>41249</v>
          </cell>
          <cell r="N44" t="str">
            <v>отд УФМС России по гор. Москве по району Чертаново Южное</v>
          </cell>
          <cell r="O44" t="str">
            <v>770-041</v>
          </cell>
          <cell r="P44" t="str">
            <v>Серия 4512 Номер 860746,Выдан 06.12.2012 отд УФМС России по гор. Москве по району Чертаново Южное</v>
          </cell>
          <cell r="Q44" t="str">
            <v>Россия г. Москва поселение Сосенское п. Коммунарка ул.  Лазурная д 7 кв 43</v>
          </cell>
          <cell r="R44" t="str">
            <v>Россия г. Москва поселение Сосенское п. Коммунарка ул. Лазурная д 7 кв 43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 t="str">
            <v>Сазонов Вячеслав Борисович</v>
          </cell>
          <cell r="B45" t="str">
            <v xml:space="preserve">монтажник- высотник </v>
          </cell>
          <cell r="C45">
            <v>25046</v>
          </cell>
          <cell r="D45" t="str">
            <v>РОССИЯ</v>
          </cell>
          <cell r="E45" t="str">
            <v>772864518965</v>
          </cell>
          <cell r="F45" t="str">
            <v>133-591-335 52</v>
          </cell>
          <cell r="G45" t="str">
            <v>Паспорт гражданина РФ</v>
          </cell>
          <cell r="H45" t="str">
            <v>Серия</v>
          </cell>
          <cell r="I45">
            <v>4513</v>
          </cell>
          <cell r="J45" t="str">
            <v>Номер</v>
          </cell>
          <cell r="K45">
            <v>241144</v>
          </cell>
          <cell r="L45" t="str">
            <v>Выдан</v>
          </cell>
          <cell r="M45">
            <v>41495</v>
          </cell>
          <cell r="N45" t="str">
            <v>отд УФМС России по гор. Москве по району Ясенево</v>
          </cell>
          <cell r="O45" t="str">
            <v>770-125</v>
          </cell>
          <cell r="P45" t="str">
            <v>Серия 4513 Номер 241144,Выдан 09.08.2013 отд УФМС России по гор. Москве по району Ясенево</v>
          </cell>
          <cell r="Q45" t="str">
            <v>Россия Тульская обл Арсеньевский р-н д Песочное д 19</v>
          </cell>
          <cell r="R45" t="str">
            <v>Россия Тульская обл Арсеньевский р-н д Песочное д 19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X45">
            <v>0</v>
          </cell>
          <cell r="Y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 t="str">
            <v>8-958-816-59-00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 t="str">
            <v>Семенцов Александр Сергеевич</v>
          </cell>
          <cell r="B46" t="str">
            <v>Гидроизолировщик</v>
          </cell>
          <cell r="C46" t="str">
            <v xml:space="preserve"> 19.06.1985</v>
          </cell>
          <cell r="D46" t="str">
            <v>РОССИЯ</v>
          </cell>
          <cell r="E46" t="str">
            <v>460600425484</v>
          </cell>
          <cell r="F46" t="str">
            <v xml:space="preserve"> 126-541-064 36</v>
          </cell>
          <cell r="G46" t="str">
            <v>Паспорт гражданина РФ</v>
          </cell>
          <cell r="H46" t="str">
            <v>Серия</v>
          </cell>
          <cell r="I46">
            <v>3805</v>
          </cell>
          <cell r="J46" t="str">
            <v>Номер</v>
          </cell>
          <cell r="K46">
            <v>301538</v>
          </cell>
          <cell r="L46" t="str">
            <v>Выдан</v>
          </cell>
          <cell r="M46">
            <v>38582</v>
          </cell>
          <cell r="N46" t="str">
            <v xml:space="preserve">выдан УВД г. Железногорска и Железногорского района Курской области </v>
          </cell>
          <cell r="O46" t="str">
            <v>462-007</v>
          </cell>
          <cell r="P46" t="str">
            <v xml:space="preserve">Серия 3805 Номер 301538,Выдан 18.08.2005 выдан УВД г. Железногорска и Железногорского района Курской области </v>
          </cell>
          <cell r="Q46" t="str">
            <v xml:space="preserve"> пос. Новоандросово ул. Пионерская д. 28 кв. 2</v>
          </cell>
          <cell r="R46" t="str">
            <v xml:space="preserve"> пос. Новоандросово ул. Пионерская д. 28 кв. 2</v>
          </cell>
          <cell r="T46" t="str">
            <v>ТХЗП-0023</v>
          </cell>
          <cell r="U46">
            <v>178</v>
          </cell>
          <cell r="V46" t="str">
            <v>48-51</v>
          </cell>
          <cell r="W46" t="str">
            <v>41-42</v>
          </cell>
          <cell r="Z46">
            <v>44537</v>
          </cell>
          <cell r="AA46" t="str">
            <v>07-12/21-ТП-16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U46">
            <v>0</v>
          </cell>
          <cell r="AX46">
            <v>0</v>
          </cell>
          <cell r="AY46">
            <v>0</v>
          </cell>
          <cell r="BA46" t="str">
            <v xml:space="preserve">Тел.8-919-136-65-88 </v>
          </cell>
          <cell r="BB46" t="str">
            <v>ksyu.s.1986@gmail.com</v>
          </cell>
          <cell r="BC46" t="str">
            <v>40817810500024570444</v>
          </cell>
          <cell r="BD46" t="str">
            <v>АО "Тинькофф Банк"</v>
          </cell>
          <cell r="BE46" t="str">
            <v>044525974</v>
          </cell>
        </row>
        <row r="47">
          <cell r="A47" t="str">
            <v xml:space="preserve">Ламбринов Николай Фёдорович </v>
          </cell>
          <cell r="B47" t="str">
            <v>Подсобный рабочий</v>
          </cell>
          <cell r="C47">
            <v>31098</v>
          </cell>
          <cell r="D47" t="str">
            <v>УКРАИНА</v>
          </cell>
          <cell r="E47" t="str">
            <v>361407412888</v>
          </cell>
          <cell r="F47" t="str">
            <v>202-762835 46</v>
          </cell>
          <cell r="G47" t="str">
            <v>Иностранный паспорт</v>
          </cell>
          <cell r="H47" t="str">
            <v>Серия</v>
          </cell>
          <cell r="I47" t="str">
            <v>BE</v>
          </cell>
          <cell r="J47" t="str">
            <v>Номер</v>
          </cell>
          <cell r="K47">
            <v>107210</v>
          </cell>
          <cell r="L47" t="str">
            <v>Выдан</v>
          </cell>
          <cell r="M47">
            <v>37141</v>
          </cell>
          <cell r="N47" t="str">
            <v>Будёновским РВДМУ УМВС Украины в Донецкой области</v>
          </cell>
          <cell r="O47">
            <v>0</v>
          </cell>
          <cell r="P47" t="str">
            <v>Серия BE Номер 107210,Выдан 07.09.2001 Будёновским РВДМУ УМВС Украины в Донецкой области</v>
          </cell>
          <cell r="Q47" t="str">
            <v>г. Москва, Ленинский проспект 87</v>
          </cell>
          <cell r="R47" t="str">
            <v>г. Москва, Ленинский проспект 87</v>
          </cell>
          <cell r="S47" t="str">
            <v>Патент: серия 77 номер 2106281926 от 14.12.2021 Отдел внешней трудовой миграции УВМ ГУ МВД России по Москве</v>
          </cell>
          <cell r="T47">
            <v>0</v>
          </cell>
          <cell r="U47">
            <v>176</v>
          </cell>
          <cell r="V47">
            <v>52</v>
          </cell>
          <cell r="W47">
            <v>42</v>
          </cell>
          <cell r="X47">
            <v>0</v>
          </cell>
          <cell r="Y47">
            <v>0</v>
          </cell>
          <cell r="Z47">
            <v>44547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 t="str">
            <v>не надо</v>
          </cell>
          <cell r="AH47" t="str">
            <v>не надо</v>
          </cell>
          <cell r="AI47" t="str">
            <v>не надо</v>
          </cell>
          <cell r="AJ47">
            <v>0</v>
          </cell>
          <cell r="AK47">
            <v>0</v>
          </cell>
          <cell r="AL47" t="str">
            <v>не надо</v>
          </cell>
          <cell r="AM47" t="str">
            <v>не надо</v>
          </cell>
          <cell r="AN47" t="str">
            <v>не надо</v>
          </cell>
          <cell r="AO47" t="str">
            <v>не надо</v>
          </cell>
          <cell r="AP47" t="str">
            <v>не надо</v>
          </cell>
          <cell r="AQ47" t="str">
            <v>не надо</v>
          </cell>
          <cell r="AR47" t="str">
            <v>не надо</v>
          </cell>
          <cell r="AS47" t="str">
            <v>не надо</v>
          </cell>
          <cell r="AT47" t="str">
            <v>не надо</v>
          </cell>
          <cell r="AU47" t="str">
            <v>не надо</v>
          </cell>
          <cell r="AV47" t="str">
            <v>не надо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79663884881</v>
          </cell>
          <cell r="BB47">
            <v>0</v>
          </cell>
          <cell r="BC47" t="str">
            <v>40820810940100136680</v>
          </cell>
          <cell r="BD47" t="str">
            <v>ПАО СБЕРБАНК</v>
          </cell>
          <cell r="BE47" t="str">
            <v>044525225</v>
          </cell>
        </row>
        <row r="48">
          <cell r="A48" t="str">
            <v>Беленков Александр Владимирович</v>
          </cell>
          <cell r="B48" t="str">
            <v>Кровельщик</v>
          </cell>
          <cell r="C48">
            <v>32075</v>
          </cell>
          <cell r="D48" t="str">
            <v>БЕЛАРУСЬ</v>
          </cell>
          <cell r="E48" t="str">
            <v>503244387802</v>
          </cell>
          <cell r="F48" t="str">
            <v xml:space="preserve"> 213-078-760 46</v>
          </cell>
          <cell r="G48" t="str">
            <v>Иностранный паспорт</v>
          </cell>
          <cell r="H48" t="str">
            <v>Серия</v>
          </cell>
          <cell r="I48" t="str">
            <v>КВ</v>
          </cell>
          <cell r="J48" t="str">
            <v>Номер</v>
          </cell>
          <cell r="K48">
            <v>1894635</v>
          </cell>
          <cell r="L48" t="str">
            <v>Выдан</v>
          </cell>
          <cell r="M48">
            <v>41234</v>
          </cell>
          <cell r="N48" t="str">
            <v>выдан Чаусский РОВД Могилевской области, 21.11.2012г.</v>
          </cell>
          <cell r="O48">
            <v>0</v>
          </cell>
          <cell r="P48" t="str">
            <v>Серия КВ Номер 1894635,Выдан 21.11.2012 выдан Чаусский РОВД Могилевской области, 21.11.2012г.</v>
          </cell>
          <cell r="Q48" t="str">
            <v>Могилевская область, г.Чаусы, ул.Железнодорожная, д. 13,кв.3</v>
          </cell>
          <cell r="R48" t="str">
            <v>Могилевская область, г.Чаусы, ул.Железнодорожная, д. 13,кв.3</v>
          </cell>
          <cell r="S48">
            <v>0</v>
          </cell>
          <cell r="T48" t="str">
            <v>ТХЗП-00224</v>
          </cell>
          <cell r="U48">
            <v>168</v>
          </cell>
          <cell r="V48">
            <v>48</v>
          </cell>
          <cell r="W48">
            <v>42</v>
          </cell>
          <cell r="X48">
            <v>0</v>
          </cell>
          <cell r="Y48">
            <v>0</v>
          </cell>
          <cell r="Z48">
            <v>44543</v>
          </cell>
          <cell r="AA48" t="str">
            <v xml:space="preserve"> 13/12-1_2021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 t="str">
            <v xml:space="preserve"> 8-951-520-06-11</v>
          </cell>
          <cell r="BB48">
            <v>0</v>
          </cell>
          <cell r="BC48" t="str">
            <v>40820810940011381430</v>
          </cell>
          <cell r="BD48" t="str">
            <v>ПАО СБЕРБАНК</v>
          </cell>
          <cell r="BE48" t="str">
            <v>044525225</v>
          </cell>
        </row>
        <row r="49">
          <cell r="A49" t="str">
            <v xml:space="preserve">Турешов Азатбай Даулетбаевич </v>
          </cell>
          <cell r="B49" t="str">
            <v>Подсобный рабочий</v>
          </cell>
          <cell r="C49">
            <v>27734</v>
          </cell>
          <cell r="D49" t="str">
            <v>Узбекистан</v>
          </cell>
          <cell r="E49" t="str">
            <v>366319944748</v>
          </cell>
          <cell r="F49" t="str">
            <v>202-842-341 25</v>
          </cell>
          <cell r="G49" t="str">
            <v>Иностранный паспорт</v>
          </cell>
          <cell r="H49" t="str">
            <v>Серия</v>
          </cell>
          <cell r="I49" t="str">
            <v>FK</v>
          </cell>
          <cell r="J49" t="str">
            <v>Номер</v>
          </cell>
          <cell r="K49" t="str">
            <v>0244450</v>
          </cell>
          <cell r="L49" t="str">
            <v>Выдан</v>
          </cell>
          <cell r="M49">
            <v>41687</v>
          </cell>
          <cell r="N49" t="str">
            <v xml:space="preserve">MIA 35222  </v>
          </cell>
          <cell r="O49">
            <v>0</v>
          </cell>
          <cell r="P49" t="str">
            <v xml:space="preserve">Серия FK Номер 0244450,Выдан 17.02.2014 MIA 35222  </v>
          </cell>
          <cell r="Q49" t="str">
            <v xml:space="preserve">г. Москва Маршала Кожедубова 2 корпус 1 </v>
          </cell>
          <cell r="R49" t="str">
            <v xml:space="preserve">г. Москва Маршала Кожедубова 2 корпус 1 </v>
          </cell>
          <cell r="S49" t="str">
            <v>Патент: серия 77 номер 2106350190 от 16.12.2021  Отдел внешней трудовой миграции УВМ ГУ МВД России по Москве</v>
          </cell>
          <cell r="T49" t="str">
            <v>ТХЗП-00226</v>
          </cell>
          <cell r="U49">
            <v>170</v>
          </cell>
          <cell r="V49">
            <v>52</v>
          </cell>
          <cell r="W49">
            <v>43</v>
          </cell>
          <cell r="X49">
            <v>0</v>
          </cell>
          <cell r="Y49">
            <v>0</v>
          </cell>
          <cell r="Z49">
            <v>44553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 t="str">
            <v>не надо</v>
          </cell>
          <cell r="AG49" t="str">
            <v>не надо</v>
          </cell>
          <cell r="AH49" t="str">
            <v>не надо</v>
          </cell>
          <cell r="AI49">
            <v>0</v>
          </cell>
          <cell r="AJ49">
            <v>0</v>
          </cell>
          <cell r="AK49" t="str">
            <v>не надо</v>
          </cell>
          <cell r="AL49" t="str">
            <v>не надо</v>
          </cell>
          <cell r="AM49" t="str">
            <v>не надо</v>
          </cell>
          <cell r="AN49" t="str">
            <v>не надо</v>
          </cell>
          <cell r="AO49" t="str">
            <v>не надо</v>
          </cell>
          <cell r="AP49" t="str">
            <v>не надо</v>
          </cell>
          <cell r="AQ49" t="str">
            <v>не надо</v>
          </cell>
          <cell r="AR49" t="str">
            <v>не надо</v>
          </cell>
          <cell r="AS49" t="str">
            <v>не надо</v>
          </cell>
          <cell r="AT49" t="str">
            <v>не надо</v>
          </cell>
          <cell r="AU49" t="str">
            <v>не надо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 t="str">
            <v>8998937074975</v>
          </cell>
          <cell r="BB49">
            <v>0</v>
          </cell>
          <cell r="BC49" t="str">
            <v>40820810040100104596</v>
          </cell>
          <cell r="BD49" t="str">
            <v>ПАО СБЕРБАНК</v>
          </cell>
          <cell r="BE49" t="str">
            <v>044525225</v>
          </cell>
        </row>
        <row r="50">
          <cell r="A50" t="str">
            <v>Торемуратов Мухтарбай Базарбаевич</v>
          </cell>
          <cell r="B50" t="str">
            <v>Подсобный рабочий</v>
          </cell>
          <cell r="C50">
            <v>29955</v>
          </cell>
          <cell r="D50" t="str">
            <v>Узбекистан</v>
          </cell>
          <cell r="E50" t="str">
            <v>504724944364</v>
          </cell>
          <cell r="F50" t="str">
            <v>205-203-091 96</v>
          </cell>
          <cell r="G50" t="str">
            <v>Иностранный паспорт</v>
          </cell>
          <cell r="H50" t="str">
            <v>Серия</v>
          </cell>
          <cell r="I50" t="str">
            <v>FK</v>
          </cell>
          <cell r="J50" t="str">
            <v>Номер</v>
          </cell>
          <cell r="K50">
            <v>244443</v>
          </cell>
          <cell r="L50" t="str">
            <v>Выдан</v>
          </cell>
          <cell r="M50">
            <v>44503</v>
          </cell>
          <cell r="N50" t="str">
            <v>MIA 35223</v>
          </cell>
          <cell r="O50">
            <v>0</v>
          </cell>
          <cell r="P50" t="str">
            <v>Серия FK Номер 244443,Выдан 03.11.2021 MIA 35223</v>
          </cell>
          <cell r="Q50" t="str">
            <v>г. Москва Маршала Кожедубова 2 корпус 2</v>
          </cell>
          <cell r="R50" t="str">
            <v>г. Москва Маршала Кожедубова 2 корпус 2</v>
          </cell>
          <cell r="S50" t="str">
            <v>Патент: серия 77 номер 2106349765 от 16.12.2021  Отдел внешней трудовой миграции УВМ ГУ МВД России по Москве</v>
          </cell>
          <cell r="T50" t="str">
            <v>ТХЗП-00222</v>
          </cell>
          <cell r="U50">
            <v>180</v>
          </cell>
          <cell r="V50">
            <v>48</v>
          </cell>
          <cell r="W50">
            <v>43</v>
          </cell>
          <cell r="X50">
            <v>0</v>
          </cell>
          <cell r="Y50">
            <v>0</v>
          </cell>
          <cell r="Z50">
            <v>44553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 t="str">
            <v>не надо</v>
          </cell>
          <cell r="AG50" t="str">
            <v>не надо</v>
          </cell>
          <cell r="AH50" t="str">
            <v>не надо</v>
          </cell>
          <cell r="AI50">
            <v>0</v>
          </cell>
          <cell r="AJ50">
            <v>0</v>
          </cell>
          <cell r="AK50" t="str">
            <v>не надо</v>
          </cell>
          <cell r="AL50" t="str">
            <v>не надо</v>
          </cell>
          <cell r="AM50" t="str">
            <v>не надо</v>
          </cell>
          <cell r="AN50" t="str">
            <v>не надо</v>
          </cell>
          <cell r="AO50" t="str">
            <v>не надо</v>
          </cell>
          <cell r="AP50" t="str">
            <v>не надо</v>
          </cell>
          <cell r="AQ50" t="str">
            <v>не надо</v>
          </cell>
          <cell r="AR50" t="str">
            <v>не надо</v>
          </cell>
          <cell r="AS50" t="str">
            <v>не надо</v>
          </cell>
          <cell r="AT50" t="str">
            <v>не надо</v>
          </cell>
          <cell r="AU50" t="str">
            <v>не надо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 t="str">
            <v>40820810440100104691</v>
          </cell>
          <cell r="BD50" t="str">
            <v>ПАО СБЕРБАНК</v>
          </cell>
          <cell r="BE50" t="str">
            <v>044525225</v>
          </cell>
        </row>
        <row r="51">
          <cell r="A51" t="str">
            <v>Меркулов Виктор Николаевич</v>
          </cell>
          <cell r="B51" t="str">
            <v>Подсобный рабочий</v>
          </cell>
          <cell r="C51">
            <v>35759</v>
          </cell>
          <cell r="D51" t="str">
            <v>РОССИЯ</v>
          </cell>
          <cell r="E51" t="str">
            <v>501910225650</v>
          </cell>
          <cell r="F51" t="str">
            <v>168-467-267 18</v>
          </cell>
          <cell r="G51" t="str">
            <v>Паспорт гражданина РФ</v>
          </cell>
          <cell r="H51" t="str">
            <v>Серия</v>
          </cell>
          <cell r="I51" t="str">
            <v>4621</v>
          </cell>
          <cell r="J51" t="str">
            <v>Номер</v>
          </cell>
          <cell r="K51">
            <v>376822</v>
          </cell>
          <cell r="L51" t="str">
            <v>Выдан</v>
          </cell>
          <cell r="M51">
            <v>44538</v>
          </cell>
          <cell r="N51" t="str">
            <v>ГУ МВД России по Московской области</v>
          </cell>
          <cell r="O51">
            <v>0</v>
          </cell>
          <cell r="P51" t="str">
            <v>Серия 4621 Номер 376822,Выдан 08.12.2021 ГУ МВД России по Московской области</v>
          </cell>
          <cell r="Q51" t="str">
            <v>Москвоская область г.Кашира п. Новоселки ул. Лесная д.9</v>
          </cell>
          <cell r="R51" t="str">
            <v>Москвоская область г.Кашира п. Новоселки ул. Лесная д.9</v>
          </cell>
          <cell r="S51">
            <v>0</v>
          </cell>
          <cell r="T51" t="str">
            <v>ТХЗП-00230</v>
          </cell>
          <cell r="U51">
            <v>183</v>
          </cell>
          <cell r="V51" t="str">
            <v>54-56</v>
          </cell>
          <cell r="W51" t="str">
            <v>44-45</v>
          </cell>
          <cell r="X51">
            <v>0</v>
          </cell>
          <cell r="Y51">
            <v>0</v>
          </cell>
          <cell r="Z51">
            <v>44594</v>
          </cell>
          <cell r="AA51" t="str">
            <v>02/02-1_2022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 t="str">
            <v>не надо</v>
          </cell>
          <cell r="AG51" t="str">
            <v>не надо</v>
          </cell>
          <cell r="AH51" t="str">
            <v>не надо</v>
          </cell>
          <cell r="AI51">
            <v>0</v>
          </cell>
          <cell r="AJ51">
            <v>0</v>
          </cell>
          <cell r="AK51" t="str">
            <v>не надо</v>
          </cell>
          <cell r="AL51" t="str">
            <v>не надо</v>
          </cell>
          <cell r="AM51" t="str">
            <v>не надо</v>
          </cell>
          <cell r="AN51" t="str">
            <v>не надо</v>
          </cell>
          <cell r="AO51" t="str">
            <v>не надо</v>
          </cell>
          <cell r="AP51" t="str">
            <v>не надо</v>
          </cell>
          <cell r="AQ51" t="str">
            <v>не надо</v>
          </cell>
          <cell r="AR51" t="str">
            <v>не надо</v>
          </cell>
          <cell r="AS51" t="str">
            <v>не надо</v>
          </cell>
          <cell r="AT51" t="str">
            <v>не надо</v>
          </cell>
          <cell r="AU51" t="str">
            <v>не надо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89150072725</v>
          </cell>
          <cell r="BB51" t="str">
            <v>Viktori2597@icloud.com</v>
          </cell>
          <cell r="BC51" t="str">
            <v>40817810840100824050</v>
          </cell>
          <cell r="BD51" t="str">
            <v>ПАО СБЕРБАНК</v>
          </cell>
          <cell r="BE51" t="str">
            <v>044525225</v>
          </cell>
        </row>
        <row r="52">
          <cell r="A52" t="str">
            <v>Магомедов Мурад Абдулаевич</v>
          </cell>
          <cell r="B52" t="str">
            <v>Подсобный рабочий</v>
          </cell>
          <cell r="C52">
            <v>34775</v>
          </cell>
          <cell r="D52" t="str">
            <v>РОССИЯ</v>
          </cell>
          <cell r="E52" t="str">
            <v>261205328687</v>
          </cell>
          <cell r="F52" t="str">
            <v>194-213-409 58</v>
          </cell>
          <cell r="G52" t="str">
            <v>Паспорт гражданина РФ</v>
          </cell>
          <cell r="H52" t="str">
            <v>Серия</v>
          </cell>
          <cell r="I52" t="str">
            <v>0715</v>
          </cell>
          <cell r="J52" t="str">
            <v>Номер</v>
          </cell>
          <cell r="K52">
            <v>29134</v>
          </cell>
          <cell r="L52" t="str">
            <v>Выдан</v>
          </cell>
          <cell r="M52">
            <v>42089</v>
          </cell>
          <cell r="N52" t="str">
            <v>Отделением УФМС России Ставропольскому краю в Курском районе</v>
          </cell>
          <cell r="O52">
            <v>0</v>
          </cell>
          <cell r="P52" t="str">
            <v>Серия 0715 Номер 29134,Выдан 26.03.2015 Отделением УФМС России Ставропольскому краю в Курском районе</v>
          </cell>
          <cell r="Q52" t="str">
            <v>Ставропольский край, Курский район, пос. Песчаный, ул.Песчаная, дом 2</v>
          </cell>
          <cell r="R52" t="str">
            <v>Ставропольский край, Курский район, пос. Песчаный, ул.Песчаная, дом 2</v>
          </cell>
          <cell r="S52">
            <v>0</v>
          </cell>
          <cell r="T52">
            <v>0</v>
          </cell>
          <cell r="U52">
            <v>174</v>
          </cell>
          <cell r="V52">
            <v>50</v>
          </cell>
          <cell r="W52">
            <v>43</v>
          </cell>
          <cell r="X52">
            <v>0</v>
          </cell>
          <cell r="Y52">
            <v>0</v>
          </cell>
          <cell r="Z52">
            <v>44599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 t="str">
            <v>не надо</v>
          </cell>
          <cell r="AG52" t="str">
            <v>не надо</v>
          </cell>
          <cell r="AH52" t="str">
            <v>не надо</v>
          </cell>
          <cell r="AI52">
            <v>0</v>
          </cell>
          <cell r="AJ52">
            <v>0</v>
          </cell>
          <cell r="AK52" t="str">
            <v>не надо</v>
          </cell>
          <cell r="AL52" t="str">
            <v>не надо</v>
          </cell>
          <cell r="AM52" t="str">
            <v>не надо</v>
          </cell>
          <cell r="AN52" t="str">
            <v>не надо</v>
          </cell>
          <cell r="AO52" t="str">
            <v>не надо</v>
          </cell>
          <cell r="AP52" t="str">
            <v>не надо</v>
          </cell>
          <cell r="AQ52" t="str">
            <v>не надо</v>
          </cell>
          <cell r="AR52" t="str">
            <v>не надо</v>
          </cell>
          <cell r="AS52" t="str">
            <v>не надо</v>
          </cell>
          <cell r="AT52" t="str">
            <v>не надо</v>
          </cell>
          <cell r="AU52" t="str">
            <v>не надо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89094818838</v>
          </cell>
          <cell r="BB52">
            <v>0</v>
          </cell>
          <cell r="BC52" t="str">
            <v>408178108000195366</v>
          </cell>
          <cell r="BD52" t="str">
            <v>АО "Тинькофф Банк"</v>
          </cell>
          <cell r="BE52" t="str">
            <v>044525974</v>
          </cell>
        </row>
        <row r="53">
          <cell r="A53" t="str">
            <v>Аблаева Виктория Николаевна</v>
          </cell>
          <cell r="B53" t="str">
            <v>Помощник директора</v>
          </cell>
          <cell r="C53">
            <v>33104</v>
          </cell>
          <cell r="D53" t="str">
            <v>РОССИЯ</v>
          </cell>
          <cell r="E53">
            <v>0</v>
          </cell>
          <cell r="F53">
            <v>0</v>
          </cell>
          <cell r="G53" t="str">
            <v>Паспорт гражданина РФ</v>
          </cell>
          <cell r="H53" t="str">
            <v>Серия</v>
          </cell>
          <cell r="I53" t="str">
            <v>5611</v>
          </cell>
          <cell r="J53" t="str">
            <v>Номер</v>
          </cell>
          <cell r="K53">
            <v>26515</v>
          </cell>
          <cell r="L53" t="str">
            <v>Выдан</v>
          </cell>
          <cell r="M53">
            <v>40787</v>
          </cell>
          <cell r="N53">
            <v>0</v>
          </cell>
          <cell r="O53">
            <v>0</v>
          </cell>
          <cell r="P53" t="str">
            <v xml:space="preserve">Серия 5611 Номер 26515,Выдан 01.09.2011 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 t="str">
            <v>8-925-209-29-70</v>
          </cell>
          <cell r="BB53">
            <v>0</v>
          </cell>
          <cell r="BC53" t="str">
            <v>40817810938061930953</v>
          </cell>
          <cell r="BD53" t="str">
            <v>ПАО СБЕРБАНК</v>
          </cell>
          <cell r="BE53" t="str">
            <v>044525225</v>
          </cell>
        </row>
        <row r="54">
          <cell r="A54" t="str">
            <v xml:space="preserve">Даулетбаев Сагийтжан Бахытжанович </v>
          </cell>
          <cell r="B54" t="str">
            <v>Подсобный рабочий</v>
          </cell>
          <cell r="C54">
            <v>34378</v>
          </cell>
          <cell r="D54" t="str">
            <v>УЗБЕКИСТАН</v>
          </cell>
          <cell r="E54" t="str">
            <v>771998768468</v>
          </cell>
          <cell r="F54">
            <v>0</v>
          </cell>
          <cell r="G54" t="str">
            <v>Иностранный паспорт</v>
          </cell>
          <cell r="H54" t="str">
            <v>Серия</v>
          </cell>
          <cell r="I54" t="str">
            <v>FK</v>
          </cell>
          <cell r="J54" t="str">
            <v>Номер</v>
          </cell>
          <cell r="K54" t="str">
            <v>0257946</v>
          </cell>
          <cell r="L54" t="str">
            <v>Выдан</v>
          </cell>
          <cell r="M54">
            <v>44541</v>
          </cell>
          <cell r="N54" t="str">
            <v>MIA 35222</v>
          </cell>
          <cell r="O54">
            <v>0</v>
          </cell>
          <cell r="P54" t="str">
            <v>Серия FK Номер 0257946,Выдан 11.12.2021 MIA 35222</v>
          </cell>
          <cell r="Q54" t="str">
            <v>Одинцовский район с. Немчиновка рублевский проезд стр.4</v>
          </cell>
          <cell r="R54" t="str">
            <v>Одинцовский район с. Немчиновка рублевский проезд стр.4</v>
          </cell>
          <cell r="S54" t="str">
            <v>Патент: серия 77 номер 2200748051 от 25.02.2022 Отдел внешней трудовой миграции УВМ ГУ МВД России по Москве</v>
          </cell>
          <cell r="T54" t="str">
            <v>ТХЗП-00242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44623</v>
          </cell>
          <cell r="AA54" t="str">
            <v>03/03-3_2022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 t="str">
            <v>89989942413994</v>
          </cell>
          <cell r="BB54">
            <v>0</v>
          </cell>
          <cell r="BC54" t="str">
            <v>40820810640100257173</v>
          </cell>
          <cell r="BD54" t="str">
            <v>ПАО СБЕРБАНК</v>
          </cell>
          <cell r="BE54">
            <v>44525225</v>
          </cell>
        </row>
        <row r="55">
          <cell r="A55" t="str">
            <v>Ибиев Рабадан Эсенович</v>
          </cell>
          <cell r="B55" t="str">
            <v>Подсобный рабочий</v>
          </cell>
          <cell r="C55">
            <v>44271</v>
          </cell>
          <cell r="D55" t="str">
            <v>РОССИЯ</v>
          </cell>
          <cell r="E55" t="str">
            <v>261407072413</v>
          </cell>
          <cell r="F55" t="str">
            <v>190-334-795 73</v>
          </cell>
          <cell r="G55" t="str">
            <v>Паспорт гражданина РФ</v>
          </cell>
          <cell r="H55" t="str">
            <v>Серия</v>
          </cell>
          <cell r="I55" t="str">
            <v>0719</v>
          </cell>
          <cell r="J55" t="str">
            <v>Номер</v>
          </cell>
          <cell r="K55">
            <v>637619</v>
          </cell>
          <cell r="L55" t="str">
            <v>Выдан</v>
          </cell>
          <cell r="M55" t="str">
            <v>22.07.2020г.</v>
          </cell>
          <cell r="N55" t="str">
            <v xml:space="preserve"> ГУ МВД России по Ставропольскому краю, 22.07.2020г.</v>
          </cell>
          <cell r="O55" t="str">
            <v>260-022</v>
          </cell>
          <cell r="P55" t="str">
            <v>Серия 0719 Номер 637619,Выдан 22.07.2020г.  ГУ МВД России по Ставропольскому краю, 22.07.2020г.</v>
          </cell>
          <cell r="Q55" t="str">
            <v>Ставропольский край, район Нефтекумский, п. Зункарь, ул. Энтузиастов, д. 20, кв.1</v>
          </cell>
          <cell r="R55" t="str">
            <v>Ставропольский край, район Нефтекумский, п. Зункарь, ул. Энтузиастов, д. 20, кв.1</v>
          </cell>
          <cell r="S55">
            <v>0</v>
          </cell>
          <cell r="T55">
            <v>0</v>
          </cell>
          <cell r="U55">
            <v>177</v>
          </cell>
          <cell r="V55" t="str">
            <v>48-50</v>
          </cell>
          <cell r="W55">
            <v>43</v>
          </cell>
          <cell r="X55">
            <v>0</v>
          </cell>
          <cell r="Y55">
            <v>0</v>
          </cell>
          <cell r="Z55">
            <v>44608</v>
          </cell>
          <cell r="AA55" t="str">
            <v>16/02-5_22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 t="str">
            <v xml:space="preserve">8-918-762-56-77
</v>
          </cell>
          <cell r="BB55" t="str">
            <v>ibiev0505@icloud.com</v>
          </cell>
          <cell r="BC55" t="str">
            <v> 40817810460106118677</v>
          </cell>
          <cell r="BD55" t="str">
            <v>СТАВРОПОЛЬСКОЕ ОТДЕЛЕНИЕ N5230 ПАО СБЕРБАНК</v>
          </cell>
          <cell r="BE55">
            <v>40702615</v>
          </cell>
        </row>
        <row r="56">
          <cell r="A56" t="str">
            <v>Омаров Ахмед Абдулкадирович</v>
          </cell>
          <cell r="B56" t="str">
            <v>Подсобный рабочий</v>
          </cell>
          <cell r="C56">
            <v>27211</v>
          </cell>
          <cell r="D56" t="str">
            <v>РОССИЯ</v>
          </cell>
          <cell r="E56" t="str">
            <v>050202928650</v>
          </cell>
          <cell r="F56" t="str">
            <v>142-794-851 92</v>
          </cell>
          <cell r="G56" t="str">
            <v>Паспорт гражданина РФ</v>
          </cell>
          <cell r="H56" t="str">
            <v>Серия</v>
          </cell>
          <cell r="I56" t="str">
            <v>45 19</v>
          </cell>
          <cell r="J56" t="str">
            <v>Номер</v>
          </cell>
          <cell r="K56">
            <v>259614</v>
          </cell>
          <cell r="L56" t="str">
            <v>Выдан</v>
          </cell>
          <cell r="M56">
            <v>43649</v>
          </cell>
          <cell r="N56" t="str">
            <v>ГУ МВД по г.Москве</v>
          </cell>
          <cell r="O56" t="str">
            <v>770-003</v>
          </cell>
          <cell r="P56" t="str">
            <v>Серия 45 19 Номер 259614,Выдан 03.07.2019 ГУ МВД по г.Москве</v>
          </cell>
          <cell r="Q56" t="str">
            <v xml:space="preserve">Дагестан, Акушинский р-н, с. Акуша </v>
          </cell>
          <cell r="R56" t="str">
            <v xml:space="preserve">Дагестан, Акушинский р-н, с. Акуша </v>
          </cell>
          <cell r="S56">
            <v>0</v>
          </cell>
          <cell r="T56">
            <v>0</v>
          </cell>
          <cell r="U56">
            <v>185</v>
          </cell>
          <cell r="V56" t="str">
            <v>54-56</v>
          </cell>
          <cell r="W56" t="str">
            <v>45-46</v>
          </cell>
          <cell r="X56">
            <v>0</v>
          </cell>
          <cell r="Y56">
            <v>0</v>
          </cell>
          <cell r="Z56">
            <v>44616</v>
          </cell>
          <cell r="AA56" t="str">
            <v>24/02-6_2022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89055051800</v>
          </cell>
          <cell r="BB56">
            <v>0</v>
          </cell>
          <cell r="BC56" t="str">
            <v>40817810840016273229</v>
          </cell>
          <cell r="BD56" t="str">
            <v>ПАО СБЕРБАНК</v>
          </cell>
          <cell r="BE56" t="str">
            <v>044525225</v>
          </cell>
        </row>
        <row r="57">
          <cell r="A57" t="str">
            <v>Раджабов Арслан Шапиевич</v>
          </cell>
          <cell r="B57" t="str">
            <v>Гидроизолировщик</v>
          </cell>
          <cell r="C57">
            <v>35987</v>
          </cell>
          <cell r="D57" t="str">
            <v>РОССИЯ</v>
          </cell>
          <cell r="E57" t="str">
            <v>052702877486</v>
          </cell>
          <cell r="F57" t="str">
            <v>168-763-895 42</v>
          </cell>
          <cell r="G57" t="str">
            <v>Паспорт гражданина РФ</v>
          </cell>
          <cell r="H57" t="str">
            <v>Серия</v>
          </cell>
          <cell r="I57" t="str">
            <v>8218</v>
          </cell>
          <cell r="J57" t="str">
            <v>Номер</v>
          </cell>
          <cell r="K57">
            <v>80778</v>
          </cell>
          <cell r="L57" t="str">
            <v>Выдан</v>
          </cell>
          <cell r="M57">
            <v>43300</v>
          </cell>
          <cell r="N57" t="str">
            <v xml:space="preserve">МВД по республике Дагестан, 19.07.2018г. </v>
          </cell>
          <cell r="O57" t="str">
            <v>050-034</v>
          </cell>
          <cell r="P57" t="str">
            <v xml:space="preserve">Серия 8218 Номер 80778,Выдан 19.07.2018 МВД по республике Дагестан, 19.07.2018г. </v>
          </cell>
          <cell r="Q57" t="str">
            <v>Республика Дагестан Район Сергокалинский, с.Сергокала, ул.Андропова, д.2</v>
          </cell>
          <cell r="R57" t="str">
            <v>Республика Дагестан Район Сергокалинский, с.Сергокала, ул.Андропова, д.2</v>
          </cell>
          <cell r="S57">
            <v>0</v>
          </cell>
          <cell r="T57">
            <v>0</v>
          </cell>
          <cell r="U57">
            <v>174</v>
          </cell>
          <cell r="V57" t="str">
            <v>48-50</v>
          </cell>
          <cell r="W57">
            <v>44</v>
          </cell>
          <cell r="X57">
            <v>0</v>
          </cell>
          <cell r="Y57">
            <v>0</v>
          </cell>
          <cell r="Z57">
            <v>44617</v>
          </cell>
          <cell r="AA57" t="str">
            <v>25/02-9_2022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89640213225</v>
          </cell>
          <cell r="BB57">
            <v>0</v>
          </cell>
          <cell r="BC57" t="str">
            <v>40817810960321880581</v>
          </cell>
          <cell r="BD57" t="str">
            <v>СТАВРОПОЛЬСКОЕ ОТДЕЛЕНИЕ N5230 ПАО СБЕРБАНК</v>
          </cell>
          <cell r="BE57">
            <v>40702615</v>
          </cell>
        </row>
        <row r="58">
          <cell r="A58" t="str">
            <v>Якшибаев Даулет Булатович</v>
          </cell>
          <cell r="B58" t="str">
            <v>Подсобный рабочий</v>
          </cell>
          <cell r="C58">
            <v>29319</v>
          </cell>
          <cell r="D58" t="str">
            <v>РОССИЯ</v>
          </cell>
          <cell r="E58" t="str">
            <v>672708473993</v>
          </cell>
          <cell r="F58" t="str">
            <v>197-207-811 94</v>
          </cell>
          <cell r="G58" t="str">
            <v>Паспорт гражданина РФ</v>
          </cell>
          <cell r="H58" t="str">
            <v>Серия</v>
          </cell>
          <cell r="I58" t="str">
            <v>4213</v>
          </cell>
          <cell r="J58" t="str">
            <v>Номер</v>
          </cell>
          <cell r="K58">
            <v>842065</v>
          </cell>
          <cell r="L58" t="str">
            <v>Выдан</v>
          </cell>
          <cell r="M58">
            <v>41600</v>
          </cell>
          <cell r="N58" t="str">
            <v>Отделением УФМС России по Липецкой области в Левобережном округе гор. Липецка</v>
          </cell>
          <cell r="O58" t="str">
            <v>480-005</v>
          </cell>
          <cell r="P58" t="str">
            <v>Серия 4213 Номер 842065,Выдан 22.11.2013 Отделением УФМС России по Липецкой области в Левобережном округе гор. Липецка</v>
          </cell>
          <cell r="Q58" t="str">
            <v>г. Ярцево ул. Нахимова д.22</v>
          </cell>
          <cell r="R58" t="str">
            <v>г. Ярцево ул. Нахимова д.22</v>
          </cell>
          <cell r="S58">
            <v>0</v>
          </cell>
          <cell r="T58">
            <v>0</v>
          </cell>
          <cell r="U58">
            <v>171</v>
          </cell>
          <cell r="V58">
            <v>52</v>
          </cell>
          <cell r="W58">
            <v>42</v>
          </cell>
          <cell r="X58">
            <v>0</v>
          </cell>
          <cell r="Y58">
            <v>0</v>
          </cell>
          <cell r="Z58">
            <v>44620</v>
          </cell>
          <cell r="AA58" t="str">
            <v>28/02-11_2022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89156478098</v>
          </cell>
          <cell r="BB58">
            <v>0</v>
          </cell>
          <cell r="BC58" t="str">
            <v xml:space="preserve">40817810159000655337 </v>
          </cell>
          <cell r="BD58" t="str">
            <v xml:space="preserve"> СМОЛЕНСКОЕ ОТДЕЛЕНИЕ N8609 ПАО СБЕРБАНК</v>
          </cell>
          <cell r="BE58">
            <v>46614632</v>
          </cell>
        </row>
        <row r="59">
          <cell r="A59" t="str">
            <v>Бобриков Евгений Валерьевич</v>
          </cell>
          <cell r="B59" t="str">
            <v>Подсобный рабочий</v>
          </cell>
          <cell r="C59">
            <v>32198</v>
          </cell>
          <cell r="D59" t="str">
            <v>УКРАИНА</v>
          </cell>
          <cell r="E59">
            <v>0</v>
          </cell>
          <cell r="F59">
            <v>0</v>
          </cell>
          <cell r="G59" t="str">
            <v>Иностранный паспорт</v>
          </cell>
          <cell r="H59" t="str">
            <v>Серия</v>
          </cell>
          <cell r="I59" t="str">
            <v>9321</v>
          </cell>
          <cell r="J59" t="str">
            <v>Номер</v>
          </cell>
          <cell r="K59">
            <v>864230</v>
          </cell>
          <cell r="L59" t="str">
            <v>Выдан</v>
          </cell>
          <cell r="M59">
            <v>44527</v>
          </cell>
          <cell r="N59" t="str">
            <v>Миграционной службой Министерства Внутренних дел</v>
          </cell>
          <cell r="O59" t="str">
            <v>019</v>
          </cell>
          <cell r="P59" t="str">
            <v>Серия 9321 Номер 864230,Выдан 27.11.2021 Миграционной службой Министерства Внутренних дел</v>
          </cell>
          <cell r="Q59" t="str">
            <v>г.Донецк,ул. Багратиона д.7 кв.6</v>
          </cell>
          <cell r="R59" t="str">
            <v>г.Донецк,ул. Багратиона д.7 кв.6</v>
          </cell>
          <cell r="S59">
            <v>0</v>
          </cell>
          <cell r="T59">
            <v>0</v>
          </cell>
          <cell r="U59">
            <v>180</v>
          </cell>
          <cell r="V59" t="str">
            <v>52/54</v>
          </cell>
          <cell r="W59">
            <v>44</v>
          </cell>
          <cell r="X59">
            <v>0</v>
          </cell>
          <cell r="Y59">
            <v>0</v>
          </cell>
          <cell r="Z59">
            <v>44629</v>
          </cell>
          <cell r="AA59" t="str">
            <v>09/03-24_2022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89997459881</v>
          </cell>
          <cell r="BC59">
            <v>0</v>
          </cell>
          <cell r="BD59">
            <v>0</v>
          </cell>
          <cell r="BE59">
            <v>0</v>
          </cell>
        </row>
        <row r="60">
          <cell r="A60" t="str">
            <v>Останин Сергей Геннадиевич</v>
          </cell>
          <cell r="B60" t="str">
            <v>Подсобный рабочий</v>
          </cell>
          <cell r="C60">
            <v>24852</v>
          </cell>
          <cell r="D60" t="str">
            <v>РОССИЯ</v>
          </cell>
          <cell r="E60" t="str">
            <v>910616202654</v>
          </cell>
          <cell r="F60" t="str">
            <v>210-493-324 23</v>
          </cell>
          <cell r="G60" t="str">
            <v>Паспорт гражданина РФ</v>
          </cell>
          <cell r="H60" t="str">
            <v>Серия</v>
          </cell>
          <cell r="I60">
            <v>6021</v>
          </cell>
          <cell r="J60" t="str">
            <v>Номер</v>
          </cell>
          <cell r="K60">
            <v>284804</v>
          </cell>
          <cell r="L60" t="str">
            <v>Выдан</v>
          </cell>
          <cell r="M60">
            <v>44257</v>
          </cell>
          <cell r="N60" t="str">
            <v>ГУ МФД России по Ростовской области</v>
          </cell>
          <cell r="O60">
            <v>0</v>
          </cell>
          <cell r="P60" t="str">
            <v>Серия 6021 Номер 284804,Выдан 02.03.2021 ГУ МФД России по Ростовской области</v>
          </cell>
          <cell r="Q60" t="str">
            <v>УКРАИНА, Донецк, ул. Полоцкая, д.2, кв.53</v>
          </cell>
          <cell r="R60" t="str">
            <v>УКРАИНА, Донецк, ул. Полоцкая, д.2, кв.53</v>
          </cell>
          <cell r="S60">
            <v>0</v>
          </cell>
          <cell r="T60">
            <v>0</v>
          </cell>
          <cell r="U60">
            <v>176</v>
          </cell>
          <cell r="V60" t="str">
            <v>50/52</v>
          </cell>
          <cell r="W60">
            <v>42</v>
          </cell>
          <cell r="X60">
            <v>0</v>
          </cell>
          <cell r="Y60">
            <v>0</v>
          </cell>
          <cell r="Z60">
            <v>44629</v>
          </cell>
          <cell r="AA60" t="str">
            <v>09/03-23_2022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89777838065</v>
          </cell>
          <cell r="BC60" t="str">
            <v>40817810040101405142</v>
          </cell>
          <cell r="BD60" t="str">
            <v>ПАО СБЕРБАНК</v>
          </cell>
          <cell r="BE60" t="str">
            <v>044525225</v>
          </cell>
        </row>
        <row r="61">
          <cell r="A61" t="str">
            <v>Кореньчук Павел Владимирович</v>
          </cell>
          <cell r="B61" t="str">
            <v>Стяжечник</v>
          </cell>
          <cell r="C61">
            <v>30971</v>
          </cell>
          <cell r="D61" t="str">
            <v>РОССИЯ</v>
          </cell>
          <cell r="E61">
            <v>0</v>
          </cell>
          <cell r="F61">
            <v>0</v>
          </cell>
          <cell r="G61" t="str">
            <v>Паспорт гражданина РФ</v>
          </cell>
          <cell r="H61" t="str">
            <v>Серия</v>
          </cell>
          <cell r="I61">
            <v>1704</v>
          </cell>
          <cell r="J61" t="str">
            <v>Номер</v>
          </cell>
          <cell r="K61">
            <v>572525</v>
          </cell>
          <cell r="L61" t="str">
            <v>Выдан</v>
          </cell>
          <cell r="M61">
            <v>38383</v>
          </cell>
          <cell r="N61" t="str">
            <v>Отделом внетренних дел округа вязники Владимирской области</v>
          </cell>
          <cell r="O61" t="str">
            <v>332-005</v>
          </cell>
          <cell r="P61" t="str">
            <v>Серия 1704 Номер 572525,Выдан 31.01.2005 Отделом внетренних дел округа вязники Владимирской области</v>
          </cell>
          <cell r="Q61" t="str">
            <v>пос. Октябрьский ул. Советская д.7 кв.7</v>
          </cell>
          <cell r="R61" t="str">
            <v>пос. Октябрьский ул. Советская д.7 кв.7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44649</v>
          </cell>
          <cell r="AA61" t="str">
            <v>29/03-35_2022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 t="str">
            <v xml:space="preserve">Анисимов Дмитрий Юрьевич </v>
          </cell>
          <cell r="B62" t="str">
            <v>Стяжечник</v>
          </cell>
          <cell r="C62">
            <v>28869</v>
          </cell>
          <cell r="D62" t="str">
            <v>РОССИЯ</v>
          </cell>
          <cell r="E62">
            <v>0</v>
          </cell>
          <cell r="F62">
            <v>0</v>
          </cell>
          <cell r="G62" t="str">
            <v>Паспорт гражданина РФ</v>
          </cell>
          <cell r="H62" t="str">
            <v>Серия</v>
          </cell>
          <cell r="I62">
            <v>4611</v>
          </cell>
          <cell r="J62" t="str">
            <v>Номер</v>
          </cell>
          <cell r="K62">
            <v>456439</v>
          </cell>
          <cell r="L62" t="str">
            <v>Выдан</v>
          </cell>
          <cell r="M62">
            <v>40826</v>
          </cell>
          <cell r="N62" t="str">
            <v xml:space="preserve">ТБ №1 ОУФМС России по Московской обл. Солнесногорскому муниципальному району </v>
          </cell>
          <cell r="O62" t="str">
            <v>500-159</v>
          </cell>
          <cell r="P62" t="str">
            <v xml:space="preserve">Серия 4611 Номер 456439,Выдан 10.10.2011 ТБ №1 ОУФМС России по Московской обл. Солнесногорскому муниципальному району </v>
          </cell>
          <cell r="Q62" t="str">
            <v>пос. Октябрьский ул. Советская д.7 кв.7</v>
          </cell>
          <cell r="R62" t="str">
            <v>пос. Октябрьский ул. Советская д.7 кв.7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44649</v>
          </cell>
          <cell r="AA62" t="str">
            <v>29/03-36_2022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 t="str">
            <v xml:space="preserve">Ирбулин Сергей Игоревич </v>
          </cell>
          <cell r="B63" t="str">
            <v>Стяжечник</v>
          </cell>
          <cell r="C63">
            <v>35375</v>
          </cell>
          <cell r="D63" t="str">
            <v>РОССИЯ</v>
          </cell>
          <cell r="E63">
            <v>0</v>
          </cell>
          <cell r="F63">
            <v>0</v>
          </cell>
          <cell r="G63" t="str">
            <v>Паспорт гражданина РФ</v>
          </cell>
          <cell r="H63" t="str">
            <v>Серия</v>
          </cell>
          <cell r="I63">
            <v>1717</v>
          </cell>
          <cell r="J63" t="str">
            <v>Номер</v>
          </cell>
          <cell r="K63">
            <v>573563</v>
          </cell>
          <cell r="L63" t="str">
            <v>Выдан</v>
          </cell>
          <cell r="M63">
            <v>43067</v>
          </cell>
          <cell r="N63" t="str">
            <v xml:space="preserve">МРО УФМС по Владимирской области в г. Вязники </v>
          </cell>
          <cell r="O63" t="str">
            <v>330-020</v>
          </cell>
          <cell r="P63" t="str">
            <v xml:space="preserve">Серия 1717 Номер 573563,Выдан 28.11.2017 МРО УФМС по Владимирской области в г. Вязники </v>
          </cell>
          <cell r="Q63" t="str">
            <v>Владимирская область, вязниковский район, пос. Октябрьский ул. Клубная дом.5 кв.15</v>
          </cell>
          <cell r="R63" t="str">
            <v>Владимирская область, вязниковский район, пос. Октябрьский ул. Клубная дом.5 кв.15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44649</v>
          </cell>
          <cell r="AA63" t="str">
            <v>29/03-37_2022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 t="str">
            <v>Котов Иван Александрович</v>
          </cell>
          <cell r="B64" t="str">
            <v>Начальник участка</v>
          </cell>
          <cell r="C64">
            <v>32533</v>
          </cell>
          <cell r="D64" t="str">
            <v>РОССИЯ</v>
          </cell>
          <cell r="E64">
            <v>0</v>
          </cell>
          <cell r="F64">
            <v>0</v>
          </cell>
          <cell r="G64" t="str">
            <v>Паспорт гражданина РФ</v>
          </cell>
          <cell r="H64" t="str">
            <v>Серия</v>
          </cell>
          <cell r="I64">
            <v>6008</v>
          </cell>
          <cell r="J64" t="str">
            <v>Номер</v>
          </cell>
          <cell r="K64">
            <v>420824</v>
          </cell>
          <cell r="L64" t="str">
            <v>Выдан</v>
          </cell>
          <cell r="M64">
            <v>39848</v>
          </cell>
          <cell r="N64" t="str">
            <v>Отделом УФМС России по Ростовской области в городе Белая Калитва</v>
          </cell>
          <cell r="O64" t="str">
            <v>610-021</v>
          </cell>
          <cell r="P64" t="str">
            <v>Серия 6008 Номер 420824,Выдан 04.02.2009 Отделом УФМС России по Ростовской области в городе Белая Калитва</v>
          </cell>
          <cell r="Q64" t="str">
            <v>г. Видное ул. Гаевского д. 6Б кв.19</v>
          </cell>
          <cell r="R64" t="str">
            <v>г. Видное ул. Гаевского д. 6Б кв.19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44649</v>
          </cell>
          <cell r="AA64" t="str">
            <v>29/03-38_2022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 t="str">
            <v>Семенов Геннадий Александрович</v>
          </cell>
          <cell r="B65" t="str">
            <v>Стяжечник</v>
          </cell>
          <cell r="C65">
            <v>28469</v>
          </cell>
          <cell r="D65" t="str">
            <v>РОССИЯ</v>
          </cell>
          <cell r="E65">
            <v>0</v>
          </cell>
          <cell r="F65">
            <v>0</v>
          </cell>
          <cell r="G65" t="str">
            <v>Паспорт гражданина РФ</v>
          </cell>
          <cell r="H65" t="str">
            <v>Серия</v>
          </cell>
          <cell r="I65">
            <v>4620</v>
          </cell>
          <cell r="J65" t="str">
            <v>Номер</v>
          </cell>
          <cell r="K65">
            <v>9080339</v>
          </cell>
          <cell r="L65" t="str">
            <v>Выдан</v>
          </cell>
          <cell r="M65">
            <v>44148</v>
          </cell>
          <cell r="N65" t="str">
            <v>ГУ МВД РОССИИ ПО МОСКОВСКОЙ ОБЛАСТИ</v>
          </cell>
          <cell r="O65" t="str">
            <v>500-007</v>
          </cell>
          <cell r="P65" t="str">
            <v>Серия 4620 Номер 9080339,Выдан 13.11.2020 ГУ МВД РОССИИ ПО МОСКОВСКОЙ ОБЛАСТИ</v>
          </cell>
          <cell r="Q65" t="str">
            <v>Московская обл. г.Балашиха ул. Карбышева д.27. кв.44</v>
          </cell>
          <cell r="R65" t="str">
            <v>Московская обл. г.Балашиха ул. Карбышева д.27. кв.44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44649</v>
          </cell>
          <cell r="AA65" t="str">
            <v>29/03-39_2022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 t="str">
            <v>Скавронский Алексей Иванович</v>
          </cell>
          <cell r="B66" t="str">
            <v>Руководитель проекта</v>
          </cell>
          <cell r="C66">
            <v>28789</v>
          </cell>
          <cell r="D66" t="str">
            <v>РОССИЯ</v>
          </cell>
          <cell r="E66">
            <v>0</v>
          </cell>
          <cell r="F66">
            <v>0</v>
          </cell>
          <cell r="G66" t="str">
            <v>Паспорт гражданина РФ</v>
          </cell>
          <cell r="H66" t="str">
            <v>Серия</v>
          </cell>
          <cell r="I66">
            <v>9903</v>
          </cell>
          <cell r="J66" t="str">
            <v>Номер</v>
          </cell>
          <cell r="K66">
            <v>165885</v>
          </cell>
          <cell r="L66" t="str">
            <v>Выдан</v>
          </cell>
          <cell r="M66">
            <v>37966</v>
          </cell>
          <cell r="N66" t="str">
            <v xml:space="preserve">Облученским РОВД Еврейской Автономной  области </v>
          </cell>
          <cell r="O66" t="str">
            <v>792-005</v>
          </cell>
          <cell r="P66" t="str">
            <v xml:space="preserve">Серия 9903 Номер 165885,Выдан 11.12.2003 Облученским РОВД Еврейской Автономной  области </v>
          </cell>
          <cell r="Q66" t="str">
            <v>район Кунцево, ул. Истринская д.8 корп.3 кв 98</v>
          </cell>
          <cell r="R66" t="str">
            <v>район Кунцево, ул. Истринская д.8 корп.3 кв 98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44649</v>
          </cell>
          <cell r="AA66" t="str">
            <v>29/03-40_2022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 t="str">
            <v>Барсуков Михаил Николаевич</v>
          </cell>
          <cell r="B67" t="str">
            <v>Кровельщик</v>
          </cell>
          <cell r="C67">
            <v>37172</v>
          </cell>
          <cell r="D67" t="str">
            <v>РОССИЯ</v>
          </cell>
          <cell r="E67" t="str">
            <v>261903764820</v>
          </cell>
          <cell r="F67" t="str">
            <v>172-763-965 05</v>
          </cell>
          <cell r="G67" t="str">
            <v>Паспорт гражданина РФ</v>
          </cell>
          <cell r="H67" t="str">
            <v>Серия</v>
          </cell>
          <cell r="I67">
            <v>4621</v>
          </cell>
          <cell r="J67" t="str">
            <v>Номер</v>
          </cell>
          <cell r="K67">
            <v>403466</v>
          </cell>
          <cell r="L67" t="str">
            <v>Выдан</v>
          </cell>
          <cell r="M67">
            <v>44524</v>
          </cell>
          <cell r="N67" t="str">
            <v>ГУ МВД РОССИИ ПО МОСКОВСКОЙ ОБЛАСТИ</v>
          </cell>
          <cell r="O67" t="str">
            <v>500-096</v>
          </cell>
          <cell r="P67" t="str">
            <v>Серия 4621 Номер 403466,Выдан 24.11.2021 ГУ МВД РОССИИ ПО МОСКОВСКОЙ ОБЛАСТИ</v>
          </cell>
          <cell r="Q67" t="str">
            <v>Ставропольский край, р-н Советский, с. Отказное ул. Степная д.36 кв.1</v>
          </cell>
          <cell r="R67" t="str">
            <v>Ставропольский край, р-н Советский, с. Отказное ул. Степная д.36 кв.1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44643</v>
          </cell>
          <cell r="AA67" t="str">
            <v>23/03-25_2022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 t="str">
            <v>40817810740100928616</v>
          </cell>
          <cell r="BD67" t="str">
            <v>ПАО СБЕРБАНК</v>
          </cell>
          <cell r="BE67" t="str">
            <v>044525225</v>
          </cell>
        </row>
        <row r="68">
          <cell r="A68" t="str">
            <v>Устинова Анастасия Алексеевна</v>
          </cell>
          <cell r="B68" t="str">
            <v>Инженер-сметчик</v>
          </cell>
          <cell r="C68">
            <v>37416</v>
          </cell>
          <cell r="D68" t="str">
            <v>РОССИЯ</v>
          </cell>
          <cell r="E68">
            <v>0</v>
          </cell>
          <cell r="F68" t="str">
            <v>185-598-044 25</v>
          </cell>
          <cell r="G68" t="str">
            <v>Паспорт гражданина РФ</v>
          </cell>
          <cell r="H68" t="str">
            <v>Серия</v>
          </cell>
          <cell r="I68">
            <v>4616</v>
          </cell>
          <cell r="J68" t="str">
            <v>Номер</v>
          </cell>
          <cell r="K68">
            <v>256271</v>
          </cell>
          <cell r="L68" t="str">
            <v>Выдан</v>
          </cell>
          <cell r="M68">
            <v>42558</v>
          </cell>
          <cell r="N68" t="str">
            <v>Отделом УФМС России по Московской области по городскому округу Реутов</v>
          </cell>
          <cell r="O68" t="str">
            <v>500-010</v>
          </cell>
          <cell r="P68" t="str">
            <v>Серия 4616 Номер 256271,Выдан 07.07.2016 Отделом УФМС России по Московской области по городскому округу Реутов</v>
          </cell>
          <cell r="Q68" t="str">
            <v>Московская обл., гор. Реутов Носовихинское шоссе д.15 кв.1</v>
          </cell>
          <cell r="R68" t="str">
            <v>Московская обл., гор. Реутов Носовихинское шоссе д.15 кв.1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44643</v>
          </cell>
          <cell r="AA68" t="str">
            <v>23/03-26_2022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 t="str">
            <v>40817810240013477013</v>
          </cell>
          <cell r="BD68" t="str">
            <v>ПАО СБЕРБАНК</v>
          </cell>
          <cell r="BE68" t="str">
            <v>044525225</v>
          </cell>
        </row>
        <row r="69">
          <cell r="A69" t="str">
            <v>Кострикин Юрий Владимирович</v>
          </cell>
          <cell r="B69" t="str">
            <v>Инженер ПТО</v>
          </cell>
          <cell r="C69">
            <v>37302</v>
          </cell>
          <cell r="D69" t="str">
            <v>РОССИЯ</v>
          </cell>
          <cell r="E69">
            <v>0</v>
          </cell>
          <cell r="F69">
            <v>0</v>
          </cell>
          <cell r="G69" t="str">
            <v>Паспорт гражданина РФ</v>
          </cell>
          <cell r="H69" t="str">
            <v>Серия</v>
          </cell>
          <cell r="I69">
            <v>4515</v>
          </cell>
          <cell r="J69" t="str">
            <v>Номер</v>
          </cell>
          <cell r="K69">
            <v>517427</v>
          </cell>
          <cell r="L69" t="str">
            <v>Выдан</v>
          </cell>
          <cell r="M69">
            <v>42439</v>
          </cell>
          <cell r="N69" t="str">
            <v>Отделом УФМС России по гор. Москве по району Ясенево</v>
          </cell>
          <cell r="O69" t="str">
            <v>770-125</v>
          </cell>
          <cell r="P69" t="str">
            <v>Серия 4515 Номер 517427,Выдан 10.03.2016 Отделом УФМС России по гор. Москве по району Ясенево</v>
          </cell>
          <cell r="Q69" t="str">
            <v>гор. Москва б-р Литовский д.30 кв.226</v>
          </cell>
          <cell r="R69" t="str">
            <v>гор. Москва б-р Литовский д.30 кв.227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44643</v>
          </cell>
          <cell r="AA69" t="str">
            <v>23/03-27_2022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 t="str">
            <v>Киселева Мария Алексеевна</v>
          </cell>
          <cell r="B70" t="str">
            <v>Помощник директора</v>
          </cell>
          <cell r="C70">
            <v>36409</v>
          </cell>
          <cell r="D70" t="str">
            <v>РОССИЯ</v>
          </cell>
          <cell r="E70" t="str">
            <v xml:space="preserve">503233608601 </v>
          </cell>
          <cell r="F70" t="str">
            <v>179-189-559 42</v>
          </cell>
          <cell r="G70" t="str">
            <v>Паспорт гражданина РФ</v>
          </cell>
          <cell r="H70" t="str">
            <v>Серия</v>
          </cell>
          <cell r="I70">
            <v>4619</v>
          </cell>
          <cell r="J70" t="str">
            <v>Номер</v>
          </cell>
          <cell r="K70">
            <v>547562</v>
          </cell>
          <cell r="L70" t="str">
            <v>Выдан</v>
          </cell>
          <cell r="M70">
            <v>43728</v>
          </cell>
          <cell r="N70" t="str">
            <v>ГУ МВД России по Московской области</v>
          </cell>
          <cell r="O70">
            <v>0</v>
          </cell>
          <cell r="P70" t="str">
            <v>Серия 4619 Номер 547562,Выдан 20.09.2019 ГУ МВД России по Московской области</v>
          </cell>
          <cell r="Q70" t="str">
            <v>:г.Одинцово ул. Рябиновая 7 корпус 1 кв 167</v>
          </cell>
          <cell r="R70" t="str">
            <v>:г.Одинцово ул. Рябиновая 7 корпус 1 кв 167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C70" t="str">
            <v>40817810240100794764</v>
          </cell>
          <cell r="BD70" t="str">
            <v>ПАО СБЕРБАНК</v>
          </cell>
          <cell r="BE70" t="str">
            <v>044525225</v>
          </cell>
        </row>
        <row r="71">
          <cell r="A71" t="str">
            <v>Фаёзов Кобилчон Комилчонович</v>
          </cell>
          <cell r="B71" t="str">
            <v>Подсобный рабочий</v>
          </cell>
          <cell r="C71">
            <v>36400</v>
          </cell>
          <cell r="D71" t="str">
            <v>ТАДЖИКИСТАН</v>
          </cell>
          <cell r="E71" t="str">
            <v>165066407573</v>
          </cell>
          <cell r="F71" t="str">
            <v>215-625-180 45</v>
          </cell>
          <cell r="G71" t="str">
            <v>Иностранный паспорт</v>
          </cell>
          <cell r="H71" t="str">
            <v>Серия</v>
          </cell>
          <cell r="I71">
            <v>0</v>
          </cell>
          <cell r="J71" t="str">
            <v>Номер</v>
          </cell>
          <cell r="K71">
            <v>401589542</v>
          </cell>
          <cell r="L71" t="str">
            <v>Выдан</v>
          </cell>
          <cell r="M71">
            <v>42920</v>
          </cell>
          <cell r="N71" t="str">
            <v>ХШБ дар Шахритуз</v>
          </cell>
          <cell r="O71">
            <v>0</v>
          </cell>
          <cell r="P71" t="str">
            <v>Серия  Номер 401589542,Выдан 04.07.2017 ХШБ дар Шахритуз</v>
          </cell>
          <cell r="Q71" t="str">
            <v>г.Москва ул. Архитектора Власова д.6</v>
          </cell>
          <cell r="R71" t="str">
            <v>г.Москва ул. Архитектора Власова д.6</v>
          </cell>
          <cell r="S71" t="str">
            <v>Патент: серия 77 № 2201425550  от 01.04.2022 Отдел внешней трудовой миграции УВМ ГУ МВД России по г. Москве</v>
          </cell>
          <cell r="T71">
            <v>0</v>
          </cell>
          <cell r="U71">
            <v>169</v>
          </cell>
          <cell r="V71">
            <v>52</v>
          </cell>
          <cell r="W71">
            <v>42</v>
          </cell>
          <cell r="X71">
            <v>0</v>
          </cell>
          <cell r="Y71">
            <v>0</v>
          </cell>
          <cell r="Z71">
            <v>44669</v>
          </cell>
          <cell r="AA71" t="str">
            <v>18/04-46_2022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C71" t="str">
            <v>40820810238186304892</v>
          </cell>
          <cell r="BD71" t="str">
            <v>ПАО СБЕРБАНК</v>
          </cell>
          <cell r="BE71" t="str">
            <v>044525225</v>
          </cell>
        </row>
        <row r="72">
          <cell r="A72" t="str">
            <v>Матжанов Тазабай Шарибаевич</v>
          </cell>
          <cell r="B72" t="str">
            <v>Подсобный рабочий</v>
          </cell>
          <cell r="C72">
            <v>24366</v>
          </cell>
          <cell r="D72" t="str">
            <v>УЗБЕКИСТАН</v>
          </cell>
          <cell r="E72" t="str">
            <v>772099850756</v>
          </cell>
          <cell r="F72" t="str">
            <v>214-257-489 55</v>
          </cell>
          <cell r="G72" t="str">
            <v>Иностранный паспорт</v>
          </cell>
          <cell r="H72" t="str">
            <v>Серия</v>
          </cell>
          <cell r="I72" t="str">
            <v>FK</v>
          </cell>
          <cell r="J72" t="str">
            <v>Номер</v>
          </cell>
          <cell r="K72" t="str">
            <v>0076974</v>
          </cell>
          <cell r="L72" t="str">
            <v>Выдан</v>
          </cell>
          <cell r="M72">
            <v>44219</v>
          </cell>
          <cell r="N72" t="str">
            <v>MIA 35218</v>
          </cell>
          <cell r="O72">
            <v>0</v>
          </cell>
          <cell r="P72" t="str">
            <v>Серия FK Номер 0076974,Выдан 23.01.2021 MIA 35218</v>
          </cell>
          <cell r="Q72" t="str">
            <v>г. Москва Бутово ул. Брусилова д.41</v>
          </cell>
          <cell r="R72" t="str">
            <v>г. Москва Бутово ул. Брусилова д.41</v>
          </cell>
          <cell r="S72" t="str">
            <v>Патент: серия 77 № 2106256944  от 13.12.2021 Отдел внешней трудовой миграции УВМ ГУ МВД России по г. Москве</v>
          </cell>
          <cell r="T72">
            <v>0</v>
          </cell>
          <cell r="U72">
            <v>175</v>
          </cell>
          <cell r="V72">
            <v>50</v>
          </cell>
          <cell r="W72">
            <v>43</v>
          </cell>
          <cell r="X72">
            <v>0</v>
          </cell>
          <cell r="Y72">
            <v>0</v>
          </cell>
          <cell r="Z72">
            <v>44671</v>
          </cell>
          <cell r="AA72" t="str">
            <v>20/04-47_2022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C72" t="str">
            <v>40820810538123714899</v>
          </cell>
          <cell r="BD72" t="str">
            <v>ПАО СБЕРБАНК</v>
          </cell>
          <cell r="BE72" t="str">
            <v>044525225</v>
          </cell>
        </row>
        <row r="73">
          <cell r="A73" t="str">
            <v>Лакаев Махмадсобир Махмадшарифович</v>
          </cell>
          <cell r="B73" t="str">
            <v>Подсобный рабочий</v>
          </cell>
          <cell r="C73">
            <v>32389</v>
          </cell>
          <cell r="D73" t="str">
            <v>ТАДЖИКИСТАН</v>
          </cell>
          <cell r="E73" t="str">
            <v>531007231918</v>
          </cell>
          <cell r="F73">
            <v>0</v>
          </cell>
          <cell r="G73" t="str">
            <v>Иностранный паспорт</v>
          </cell>
          <cell r="H73" t="str">
            <v>Серия</v>
          </cell>
          <cell r="I73">
            <v>0</v>
          </cell>
          <cell r="J73" t="str">
            <v>Номер</v>
          </cell>
          <cell r="K73">
            <v>400355244</v>
          </cell>
          <cell r="L73" t="str">
            <v>Выдан</v>
          </cell>
          <cell r="M73">
            <v>41964</v>
          </cell>
          <cell r="N73" t="str">
            <v>ХШБ дар Кулоб</v>
          </cell>
          <cell r="O73">
            <v>0</v>
          </cell>
          <cell r="P73" t="str">
            <v>Серия  Номер 400355244,Выдан 21.11.2014 ХШБ дар Кулоб</v>
          </cell>
          <cell r="Q73" t="str">
            <v>г.Москва, Силикатный проезд 19/2 стр 28 комната 302</v>
          </cell>
          <cell r="R73" t="str">
            <v>г.Москва, Силикатный проезд 19/2 стр 28 комната 302</v>
          </cell>
          <cell r="S73" t="str">
            <v>Патент: серия 77 № 2106076099 от 02.12.2021 Отдел внешней трудовой миграции УВМ ГУ МВД России по г. Москве</v>
          </cell>
          <cell r="T73">
            <v>0</v>
          </cell>
          <cell r="U73">
            <v>170</v>
          </cell>
          <cell r="V73">
            <v>48</v>
          </cell>
          <cell r="W73">
            <v>41</v>
          </cell>
          <cell r="X73">
            <v>0</v>
          </cell>
          <cell r="Y73">
            <v>0</v>
          </cell>
          <cell r="Z73">
            <v>44672</v>
          </cell>
          <cell r="AA73" t="str">
            <v>21/04-48_2022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C73" t="str">
            <v>40817810143860263256</v>
          </cell>
          <cell r="BD73">
            <v>0</v>
          </cell>
          <cell r="BE73">
            <v>0</v>
          </cell>
        </row>
        <row r="74">
          <cell r="A74" t="str">
            <v>Курбонов Айниддин Абдулвосеъович</v>
          </cell>
          <cell r="B74" t="str">
            <v>Подсобный рабочий</v>
          </cell>
          <cell r="C74">
            <v>35365</v>
          </cell>
          <cell r="D74" t="str">
            <v>ТАДЖИКИСТАН</v>
          </cell>
          <cell r="E74" t="str">
            <v>781447836809</v>
          </cell>
          <cell r="F74">
            <v>0</v>
          </cell>
          <cell r="G74" t="str">
            <v>Иностранный паспорт</v>
          </cell>
          <cell r="H74" t="str">
            <v>Серия</v>
          </cell>
          <cell r="I74">
            <v>0</v>
          </cell>
          <cell r="J74" t="str">
            <v>Номер</v>
          </cell>
          <cell r="K74">
            <v>400686205</v>
          </cell>
          <cell r="L74" t="str">
            <v>Выдан</v>
          </cell>
          <cell r="M74">
            <v>42164</v>
          </cell>
          <cell r="N74" t="str">
            <v>MIA  Таджикистан</v>
          </cell>
          <cell r="O74">
            <v>0</v>
          </cell>
          <cell r="P74" t="str">
            <v>Серия  Номер 400686205,Выдан 09.06.2015 MIA  Таджикистан</v>
          </cell>
          <cell r="Q74" t="str">
            <v>г.Москва, Силикатный проезд 19/2 стр 28 комната 301</v>
          </cell>
          <cell r="R74" t="str">
            <v>г.Москва, Силикатный проезд 19/2 стр 28 комната 301</v>
          </cell>
          <cell r="S74" t="str">
            <v>Патент: серия 77 № 2106075899 от 02.12.2021 Отдел внешней трудовой миграции УВМ ГУ МВД России по г. Москве</v>
          </cell>
          <cell r="T74">
            <v>0</v>
          </cell>
          <cell r="U74">
            <v>173</v>
          </cell>
          <cell r="V74" t="str">
            <v>48/50</v>
          </cell>
          <cell r="W74">
            <v>42</v>
          </cell>
          <cell r="X74">
            <v>0</v>
          </cell>
          <cell r="Y74">
            <v>0</v>
          </cell>
          <cell r="Z74">
            <v>44672</v>
          </cell>
          <cell r="AA74" t="str">
            <v>21/04-49_2022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C74" t="str">
            <v>40820810243860018343</v>
          </cell>
          <cell r="BD74">
            <v>0</v>
          </cell>
          <cell r="BE74">
            <v>0</v>
          </cell>
        </row>
        <row r="75">
          <cell r="A75" t="str">
            <v>Мирзоалиев Бобошох Мирзомудинович</v>
          </cell>
          <cell r="B75" t="str">
            <v>Подсобный рабочий</v>
          </cell>
          <cell r="C75">
            <v>32188</v>
          </cell>
          <cell r="D75" t="str">
            <v>ТАДЖИКИСТАН</v>
          </cell>
          <cell r="E75" t="str">
            <v>384907668396</v>
          </cell>
          <cell r="F75">
            <v>0</v>
          </cell>
          <cell r="G75" t="str">
            <v>Иностранный паспорт</v>
          </cell>
          <cell r="H75" t="str">
            <v>Серия</v>
          </cell>
          <cell r="I75">
            <v>0</v>
          </cell>
          <cell r="J75" t="str">
            <v>Номер</v>
          </cell>
          <cell r="K75">
            <v>401035939</v>
          </cell>
          <cell r="L75" t="str">
            <v>Выдан</v>
          </cell>
          <cell r="M75">
            <v>42492</v>
          </cell>
          <cell r="N75" t="str">
            <v>MIA  Таджикистан</v>
          </cell>
          <cell r="O75">
            <v>0</v>
          </cell>
          <cell r="P75" t="str">
            <v>Серия  Номер 401035939,Выдан 02.05.2016 MIA  Таджикистан</v>
          </cell>
          <cell r="Q75" t="str">
            <v>г.Москва, Силикатный проезд 19/2 стр 28 комната 303</v>
          </cell>
          <cell r="R75" t="str">
            <v>г.Москва, Силикатный проезд 19/2 стр 28 комната 303</v>
          </cell>
          <cell r="S75" t="str">
            <v>Патент: серия 77 № 2201010429 от 09.03.2022  Отдел внешней трудовой миграции УВМ ГУ МВД России по г. Москве</v>
          </cell>
          <cell r="T75">
            <v>0</v>
          </cell>
          <cell r="U75">
            <v>175</v>
          </cell>
          <cell r="V75">
            <v>50</v>
          </cell>
          <cell r="W75">
            <v>41</v>
          </cell>
          <cell r="X75">
            <v>0</v>
          </cell>
          <cell r="Y75">
            <v>0</v>
          </cell>
          <cell r="Z75">
            <v>44672</v>
          </cell>
          <cell r="AA75" t="str">
            <v>21/04-50_2022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C75" t="str">
            <v>40820810740100394499</v>
          </cell>
          <cell r="BD75">
            <v>0</v>
          </cell>
          <cell r="BE75">
            <v>0</v>
          </cell>
        </row>
        <row r="76">
          <cell r="A76" t="str">
            <v>Белоусов Роман Александрович</v>
          </cell>
          <cell r="B76" t="str">
            <v>Кровельщик</v>
          </cell>
          <cell r="C76">
            <v>34563</v>
          </cell>
          <cell r="D76" t="str">
            <v>БЕЛАРУСЬ</v>
          </cell>
          <cell r="E76" t="str">
            <v>772999064522</v>
          </cell>
          <cell r="F76" t="str">
            <v>206-054-399 36</v>
          </cell>
          <cell r="G76" t="str">
            <v>Иностранный паспорт</v>
          </cell>
          <cell r="H76" t="str">
            <v>Серия</v>
          </cell>
          <cell r="I76" t="str">
            <v>КВ</v>
          </cell>
          <cell r="J76" t="str">
            <v>Номер</v>
          </cell>
          <cell r="K76">
            <v>2444532</v>
          </cell>
          <cell r="L76" t="str">
            <v>Выдан</v>
          </cell>
          <cell r="M76">
            <v>43699</v>
          </cell>
          <cell r="N76" t="str">
            <v>Чаусский РОВД Могилевской области</v>
          </cell>
          <cell r="O76">
            <v>0</v>
          </cell>
          <cell r="P76" t="str">
            <v>Серия КВ Номер 2444532,Выдан 22.08.2019 Чаусский РОВД Могилевской области</v>
          </cell>
          <cell r="Q76" t="str">
            <v xml:space="preserve">Республика Беларусь, Могилевская область, Чаусский р-н, Благовичи, ул. Заозерная, д.17Б, </v>
          </cell>
          <cell r="R76" t="str">
            <v xml:space="preserve">Республика Беларусь, Могилевская область, Чаусский р-н, Благовичи, ул. Заозерная, д.17Б, </v>
          </cell>
          <cell r="S76">
            <v>0</v>
          </cell>
          <cell r="T76">
            <v>0</v>
          </cell>
          <cell r="U76">
            <v>183</v>
          </cell>
          <cell r="V76">
            <v>50</v>
          </cell>
          <cell r="W76">
            <v>43</v>
          </cell>
          <cell r="X76">
            <v>0</v>
          </cell>
          <cell r="Y76">
            <v>0</v>
          </cell>
          <cell r="Z76">
            <v>44676</v>
          </cell>
          <cell r="AA76" t="str">
            <v>25/04-51_22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C76" t="str">
            <v>40820810640011258313</v>
          </cell>
          <cell r="BD76" t="str">
            <v>ПАО СБЕРБАНК</v>
          </cell>
          <cell r="BE76" t="str">
            <v>044525225</v>
          </cell>
        </row>
        <row r="77">
          <cell r="A77" t="str">
            <v>Рыбалка Петр Анатольевич</v>
          </cell>
          <cell r="B77" t="str">
            <v>Кровельщик</v>
          </cell>
          <cell r="C77">
            <v>31985</v>
          </cell>
          <cell r="D77" t="str">
            <v>БЕЛАРУСЬ</v>
          </cell>
          <cell r="E77">
            <v>0</v>
          </cell>
          <cell r="F77">
            <v>0</v>
          </cell>
          <cell r="G77" t="str">
            <v>Иностранный паспорт</v>
          </cell>
          <cell r="H77" t="str">
            <v>Серия</v>
          </cell>
          <cell r="I77" t="str">
            <v>КВ</v>
          </cell>
          <cell r="J77" t="str">
            <v>Номер</v>
          </cell>
          <cell r="K77">
            <v>2583125</v>
          </cell>
          <cell r="L77" t="str">
            <v>Выдан</v>
          </cell>
          <cell r="M77" t="str">
            <v>04.032022</v>
          </cell>
          <cell r="N77" t="str">
            <v>ОКТЯБРЬСКИМ РОВД Г. МОГИЛЕВА</v>
          </cell>
          <cell r="O77">
            <v>0</v>
          </cell>
          <cell r="P77" t="str">
            <v>Серия КВ Номер 2583125,Выдан 04.032022 ОКТЯБРЬСКИМ РОВД Г. МОГИЛЕВА</v>
          </cell>
          <cell r="Q77" t="str">
            <v>Могилевская обл., г. Чаусы,ул. Заводская  д. 10</v>
          </cell>
          <cell r="R77" t="str">
            <v>Могилевская обл., г. Чаусы,ул. Заводская  д. 10</v>
          </cell>
          <cell r="S77">
            <v>0</v>
          </cell>
          <cell r="T77">
            <v>0</v>
          </cell>
          <cell r="U77">
            <v>180</v>
          </cell>
          <cell r="V77" t="str">
            <v>50/54</v>
          </cell>
          <cell r="W77">
            <v>43</v>
          </cell>
          <cell r="X77">
            <v>0</v>
          </cell>
          <cell r="Y77">
            <v>0</v>
          </cell>
          <cell r="Z77">
            <v>44676</v>
          </cell>
          <cell r="AA77" t="str">
            <v>25/04-52_22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 t="str">
            <v>Курбонов Ахлиддин Абдулвосеъович</v>
          </cell>
          <cell r="B78" t="str">
            <v>Подсобный рабочий</v>
          </cell>
          <cell r="C78">
            <v>34773</v>
          </cell>
          <cell r="D78" t="str">
            <v>ТАДЖИКИСТАН</v>
          </cell>
          <cell r="E78">
            <v>0</v>
          </cell>
          <cell r="F78">
            <v>0</v>
          </cell>
          <cell r="G78" t="str">
            <v>Иностранный паспорт</v>
          </cell>
          <cell r="H78" t="str">
            <v>Серия</v>
          </cell>
          <cell r="I78">
            <v>0</v>
          </cell>
          <cell r="J78" t="str">
            <v>Номер</v>
          </cell>
          <cell r="K78">
            <v>402824492</v>
          </cell>
          <cell r="L78" t="str">
            <v>Выдан</v>
          </cell>
          <cell r="M78">
            <v>43724</v>
          </cell>
          <cell r="N78" t="str">
            <v>Россия, Санкт-петербург</v>
          </cell>
          <cell r="O78">
            <v>0</v>
          </cell>
          <cell r="P78" t="str">
            <v>Серия  Номер 402824492,Выдан 16.09.2019 Россия, Санкт-петербург</v>
          </cell>
          <cell r="Q78" t="str">
            <v>г.Москва, Силикатный проезд 19/2 стр 28 комната 301</v>
          </cell>
          <cell r="R78" t="str">
            <v>г.Москва, Силикатный проезд 19/2 стр 28 комната 301</v>
          </cell>
          <cell r="S78" t="str">
            <v>Патент: серия 77 № 210653447 от 27.09.2021  Отдел внешней трудовой миграции УВМ ГУ МВД России по г. Москве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44676</v>
          </cell>
          <cell r="AA78" t="str">
            <v>25/04-53_22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C78" t="str">
            <v>40820810640100167438</v>
          </cell>
          <cell r="BD78" t="str">
            <v>ПАО СБЕРБАНК</v>
          </cell>
          <cell r="BE78">
            <v>0</v>
          </cell>
        </row>
        <row r="79">
          <cell r="A79" t="str">
            <v>Ахмадов Абдулмумин Абдулманонович</v>
          </cell>
          <cell r="B79" t="str">
            <v>Подсобный рабочий</v>
          </cell>
          <cell r="C79">
            <v>30865</v>
          </cell>
          <cell r="D79" t="str">
            <v>ТАДЖИКИСТАН</v>
          </cell>
          <cell r="E79">
            <v>0</v>
          </cell>
          <cell r="F79">
            <v>0</v>
          </cell>
          <cell r="G79" t="str">
            <v>Иностранный паспорт</v>
          </cell>
          <cell r="H79" t="str">
            <v>Серия</v>
          </cell>
          <cell r="I79">
            <v>0</v>
          </cell>
          <cell r="J79" t="str">
            <v>Номер</v>
          </cell>
          <cell r="K79">
            <v>402479262</v>
          </cell>
          <cell r="L79" t="str">
            <v>Выдан</v>
          </cell>
          <cell r="M79">
            <v>43488</v>
          </cell>
          <cell r="N79" t="str">
            <v>МВД Хамадони</v>
          </cell>
          <cell r="O79">
            <v>0</v>
          </cell>
          <cell r="P79" t="str">
            <v>Серия  Номер 402479262,Выдан 23.01.2019 МВД Хамадони</v>
          </cell>
          <cell r="Q79" t="str">
            <v>г.Москва, Силикатный проезд 19/2 стр 28 комната 303</v>
          </cell>
          <cell r="R79" t="str">
            <v>г.Москва, Силикатный проезд 19/2 стр 28 комната 303</v>
          </cell>
          <cell r="S79" t="str">
            <v>Патент: серия 77 № 2201002570 от 09.03.2022  Отдел внешней трудовой миграции УВМ ГУ МВД России по г. Москве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44676</v>
          </cell>
          <cell r="AA79" t="str">
            <v>25/04-54_22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C79" t="str">
            <v>40820810040100400070</v>
          </cell>
          <cell r="BD79" t="str">
            <v>ПАО СБЕРБАНК</v>
          </cell>
          <cell r="BE79">
            <v>0</v>
          </cell>
        </row>
        <row r="80">
          <cell r="A80" t="str">
            <v>Воронина Юлия Сергеевна</v>
          </cell>
          <cell r="B80" t="str">
            <v>Инженет пто</v>
          </cell>
          <cell r="C80">
            <v>34562</v>
          </cell>
          <cell r="D80" t="str">
            <v>РОССИЯ</v>
          </cell>
          <cell r="E80">
            <v>0</v>
          </cell>
          <cell r="F80" t="str">
            <v>114-551-452 27</v>
          </cell>
          <cell r="G80" t="str">
            <v>Паспорт гражданина РФ</v>
          </cell>
          <cell r="H80" t="str">
            <v>Серия</v>
          </cell>
          <cell r="I80">
            <v>4519</v>
          </cell>
          <cell r="J80" t="str">
            <v>Номер</v>
          </cell>
          <cell r="K80">
            <v>599711</v>
          </cell>
          <cell r="L80" t="str">
            <v>Выдан</v>
          </cell>
          <cell r="M80">
            <v>43879</v>
          </cell>
          <cell r="N80" t="str">
            <v>ГУ МВД России по г.Москве 18.02.2020</v>
          </cell>
          <cell r="O80">
            <v>0</v>
          </cell>
          <cell r="P80" t="str">
            <v>Серия 4519 Номер 599711,Выдан 18.02.2020 ГУ МВД России по г.Москве 18.02.2020</v>
          </cell>
          <cell r="Q80" t="str">
            <v>г.Одинцово ул.Северная д5 к.2 кв.521</v>
          </cell>
          <cell r="R80" t="str">
            <v>г.Одинцово ул.Северная д5 к.2 кв.521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44676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 t="str">
            <v>Шарипов Рустам Хайдарович</v>
          </cell>
          <cell r="B81" t="str">
            <v>Подсобный рабочий</v>
          </cell>
          <cell r="C81">
            <v>32555</v>
          </cell>
          <cell r="D81" t="str">
            <v>ТАДЖИКИСТАН</v>
          </cell>
          <cell r="E81">
            <v>0</v>
          </cell>
          <cell r="F81">
            <v>0</v>
          </cell>
          <cell r="G81" t="str">
            <v>Иностранный паспорт</v>
          </cell>
          <cell r="H81" t="str">
            <v>Серия</v>
          </cell>
          <cell r="I81">
            <v>0</v>
          </cell>
          <cell r="J81" t="str">
            <v>Номер</v>
          </cell>
          <cell r="K81">
            <v>402214278</v>
          </cell>
          <cell r="L81" t="str">
            <v>Выдан</v>
          </cell>
          <cell r="M81">
            <v>43309</v>
          </cell>
          <cell r="N81" t="str">
            <v>МВД Балхи</v>
          </cell>
          <cell r="O81">
            <v>0</v>
          </cell>
          <cell r="P81" t="str">
            <v>Серия  Номер 402214278,Выдан 28.07.2018 МВД Балхи</v>
          </cell>
          <cell r="Q81" t="str">
            <v>г. Москва Бутово ул. Брусилова д.41</v>
          </cell>
          <cell r="R81" t="str">
            <v>г. Москва Бутово ул. Брусилова д.41</v>
          </cell>
          <cell r="S81" t="str">
            <v>Патент: серия 77 № 2201495822 от 08.04.2022  Отдел внешней трудовой миграции УВМ ГУ МВД России по г. Москве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44676</v>
          </cell>
          <cell r="AA81" t="str">
            <v>25/04-57_22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 t="str">
            <v>Шарифов Бахриддин Давлахмадович</v>
          </cell>
          <cell r="B82" t="str">
            <v>Подсобный рабочий</v>
          </cell>
          <cell r="C82">
            <v>35569</v>
          </cell>
          <cell r="D82" t="str">
            <v>ТАДЖИКИСТАН</v>
          </cell>
          <cell r="E82">
            <v>0</v>
          </cell>
          <cell r="F82">
            <v>0</v>
          </cell>
          <cell r="G82" t="str">
            <v>Иностранный паспорт</v>
          </cell>
          <cell r="H82" t="str">
            <v>Серия</v>
          </cell>
          <cell r="I82">
            <v>0</v>
          </cell>
          <cell r="J82" t="str">
            <v>Номер</v>
          </cell>
          <cell r="K82">
            <v>401673864</v>
          </cell>
          <cell r="L82" t="str">
            <v>Выдан</v>
          </cell>
          <cell r="M82">
            <v>42969</v>
          </cell>
          <cell r="N82" t="str">
            <v>МВД г. Душанбе</v>
          </cell>
          <cell r="O82">
            <v>0</v>
          </cell>
          <cell r="P82" t="str">
            <v>Серия  Номер 401673864,Выдан 22.08.2017 МВД г. Душанбе</v>
          </cell>
          <cell r="Q82" t="str">
            <v>гор. Москва ул. Саратовская дом. 3, корп. 2, кв. 271</v>
          </cell>
          <cell r="R82" t="str">
            <v>гор. Москва ул. Саратовская дом. 3, корп. 2, кв. 271</v>
          </cell>
          <cell r="S82" t="str">
            <v>Патент: серия 77 № 2200895320 от27.12.2021  Отдел внешней трудовой миграции УВМ ГУ МВД России по г. Москве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44676</v>
          </cell>
          <cell r="AA82" t="str">
            <v>25/04-58_22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 t="str">
            <v>Нуралиев Максудали Назарович</v>
          </cell>
          <cell r="B83" t="str">
            <v>Подсобный рабочий</v>
          </cell>
          <cell r="C83">
            <v>35411</v>
          </cell>
          <cell r="D83" t="str">
            <v>ТАДЖИКИСТАН</v>
          </cell>
          <cell r="E83">
            <v>0</v>
          </cell>
          <cell r="F83">
            <v>0</v>
          </cell>
          <cell r="G83" t="str">
            <v>Иностранный паспорт</v>
          </cell>
          <cell r="H83" t="str">
            <v>Серия</v>
          </cell>
          <cell r="I83">
            <v>0</v>
          </cell>
          <cell r="J83" t="str">
            <v>Номер</v>
          </cell>
          <cell r="K83">
            <v>402142440</v>
          </cell>
          <cell r="L83" t="str">
            <v>Выдан</v>
          </cell>
          <cell r="M83">
            <v>43283</v>
          </cell>
          <cell r="N83" t="str">
            <v>МВД г. Бохтар</v>
          </cell>
          <cell r="O83">
            <v>0</v>
          </cell>
          <cell r="P83" t="str">
            <v>Серия  Номер 402142440,Выдан 02.07.2018 МВД г. Бохтар</v>
          </cell>
          <cell r="Q83" t="str">
            <v>г. Москва Бутово ул. Брусилова д.41</v>
          </cell>
          <cell r="R83" t="str">
            <v>г. Москва Бутово ул. Брусилова д.41</v>
          </cell>
          <cell r="S83" t="str">
            <v>Патент: серия 77 № 2106541268 от21.01.2022  Отдел внешней трудовой миграции УВМ ГУ МВД России по г. Москве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44676</v>
          </cell>
          <cell r="AA83" t="str">
            <v>25/04-59_22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 t="str">
            <v>Халилов Муборакшо Алимардонович</v>
          </cell>
          <cell r="B84" t="str">
            <v>Подсобный рабочий</v>
          </cell>
          <cell r="C84">
            <v>44967</v>
          </cell>
          <cell r="D84" t="str">
            <v>ТАДЖИКИСТАН</v>
          </cell>
          <cell r="E84">
            <v>0</v>
          </cell>
          <cell r="F84">
            <v>0</v>
          </cell>
          <cell r="G84" t="str">
            <v>Иностранный паспорт</v>
          </cell>
          <cell r="H84" t="str">
            <v>Серия</v>
          </cell>
          <cell r="I84">
            <v>0</v>
          </cell>
          <cell r="J84" t="str">
            <v>Номер</v>
          </cell>
          <cell r="K84">
            <v>403404735</v>
          </cell>
          <cell r="L84" t="str">
            <v>Выдан</v>
          </cell>
          <cell r="M84">
            <v>0</v>
          </cell>
          <cell r="N84">
            <v>0</v>
          </cell>
          <cell r="O84">
            <v>0</v>
          </cell>
          <cell r="P84" t="str">
            <v xml:space="preserve">Серия  Номер 403404735,Выдан 00.01.1900 </v>
          </cell>
          <cell r="Q84" t="str">
            <v>г.Москва, Силикатный проезд 19/2 стр 28 комната 303</v>
          </cell>
          <cell r="R84" t="str">
            <v>г.Москва, Силикатный проезд 19/2 стр 28 комната 303</v>
          </cell>
          <cell r="S84" t="str">
            <v>Патент: серия 77 № 2105392260 от21.01.2022  Отдел внешней трудовой миграции УВМ ГУ МВД России по г. Москве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44676</v>
          </cell>
          <cell r="AA84" t="str">
            <v>25/04-60_22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 t="str">
            <v>Запорожан Алексей Иванович</v>
          </cell>
          <cell r="B85" t="str">
            <v>Стяжечник</v>
          </cell>
          <cell r="C85">
            <v>23912</v>
          </cell>
          <cell r="D85" t="str">
            <v>РОССИЯ</v>
          </cell>
          <cell r="E85">
            <v>0</v>
          </cell>
          <cell r="F85">
            <v>0</v>
          </cell>
          <cell r="G85" t="str">
            <v>Паспорт гражданина РФ</v>
          </cell>
          <cell r="H85" t="str">
            <v>Серия</v>
          </cell>
          <cell r="I85">
            <v>1910</v>
          </cell>
          <cell r="J85" t="str">
            <v>Номер</v>
          </cell>
          <cell r="K85">
            <v>699054</v>
          </cell>
          <cell r="L85" t="str">
            <v>Выдан</v>
          </cell>
          <cell r="M85">
            <v>40380</v>
          </cell>
          <cell r="N85" t="str">
            <v>Отделением УФМС России по Вологодской области в Тотемском районе</v>
          </cell>
          <cell r="O85">
            <v>0</v>
          </cell>
          <cell r="P85" t="str">
            <v>Серия 1910 Номер 699054,Выдан 21.07.2010 Отделением УФМС России по Вологодской области в Тотемском районе</v>
          </cell>
          <cell r="Q85" t="str">
            <v>Вологодская обл. Тотемский р-н., пос. Советский, ул. Садовая, д.18, кв. 4</v>
          </cell>
          <cell r="R85" t="str">
            <v>Вологодская обл. Тотемский р-н., пос. Советский, ул. Садовая, д.18, кв. 4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44657</v>
          </cell>
          <cell r="AA85" t="str">
            <v>06/04-47_2022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 t="str">
            <v>Полянских Александр Иванович</v>
          </cell>
          <cell r="B86" t="str">
            <v>Стяжечник</v>
          </cell>
          <cell r="C86">
            <v>32921</v>
          </cell>
          <cell r="D86" t="str">
            <v>РОССИЯ</v>
          </cell>
          <cell r="E86">
            <v>0</v>
          </cell>
          <cell r="F86">
            <v>0</v>
          </cell>
          <cell r="G86" t="str">
            <v>Паспорт гражданина РФ</v>
          </cell>
          <cell r="H86" t="str">
            <v>Серия</v>
          </cell>
          <cell r="I86">
            <v>4209</v>
          </cell>
          <cell r="J86" t="str">
            <v>Номер</v>
          </cell>
          <cell r="K86">
            <v>600424</v>
          </cell>
          <cell r="L86" t="str">
            <v>Выдан</v>
          </cell>
          <cell r="M86">
            <v>40254</v>
          </cell>
          <cell r="N86" t="str">
            <v>территориальным пунктом уфмс россии по липецкой области в долгопрудном районе</v>
          </cell>
          <cell r="O86">
            <v>0</v>
          </cell>
          <cell r="P86" t="str">
            <v>Серия 4209 Номер 600424,Выдан 17.03.2010 территориальным пунктом уфмс россии по липецкой области в долгопрудном районе</v>
          </cell>
          <cell r="Q86" t="str">
            <v>г.Липецк Октябрьский район ул.Юбилейная д.7 кв.21</v>
          </cell>
          <cell r="R86" t="str">
            <v>г.Липецк Октябрьский район ул.Юбилейная д.7 кв.21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44658</v>
          </cell>
          <cell r="AA86" t="str">
            <v>07/04-49_2022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 t="str">
            <v>Рыбаков Игорь Вячеславович</v>
          </cell>
          <cell r="B87" t="str">
            <v>Стяжечник</v>
          </cell>
          <cell r="C87">
            <v>33595</v>
          </cell>
          <cell r="D87" t="str">
            <v>РОССИЯ</v>
          </cell>
          <cell r="E87">
            <v>0</v>
          </cell>
          <cell r="F87">
            <v>0</v>
          </cell>
          <cell r="G87" t="str">
            <v>Паспорт гражданина РФ</v>
          </cell>
          <cell r="H87" t="str">
            <v>Серия</v>
          </cell>
          <cell r="I87">
            <v>3311</v>
          </cell>
          <cell r="J87" t="str">
            <v>Номер</v>
          </cell>
          <cell r="K87">
            <v>120117</v>
          </cell>
          <cell r="L87" t="str">
            <v>Выдан</v>
          </cell>
          <cell r="M87">
            <v>40912</v>
          </cell>
          <cell r="N87" t="str">
            <v>ТП УФМС России по Кировкой области в Санчурском районе,</v>
          </cell>
          <cell r="O87">
            <v>0</v>
          </cell>
          <cell r="P87" t="str">
            <v>Серия 3311 Номер 120117,Выдан 04.01.2012 ТП УФМС России по Кировкой области в Санчурском районе,</v>
          </cell>
          <cell r="Q87" t="str">
            <v>Кировская область, Санчурский район, пгт Санчурск, кл. Урицкого 43</v>
          </cell>
          <cell r="R87" t="str">
            <v>Кировская область, Санчурский район, пгт Санчурск, кл. Урицкого 43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44658</v>
          </cell>
          <cell r="AA87" t="str">
            <v>07/04-48_2022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 t="str">
            <v>Ласунин Владимир Васильевич</v>
          </cell>
          <cell r="B88" t="str">
            <v>Стяжечник</v>
          </cell>
          <cell r="C88">
            <v>33482</v>
          </cell>
          <cell r="D88" t="str">
            <v>РОССИЯ</v>
          </cell>
          <cell r="E88">
            <v>0</v>
          </cell>
          <cell r="F88">
            <v>0</v>
          </cell>
          <cell r="G88" t="str">
            <v>Паспорт гражданина РФ</v>
          </cell>
          <cell r="H88" t="str">
            <v>Серия</v>
          </cell>
          <cell r="I88">
            <v>6318</v>
          </cell>
          <cell r="J88" t="str">
            <v>Номер</v>
          </cell>
          <cell r="K88">
            <v>516967</v>
          </cell>
          <cell r="L88" t="str">
            <v>Выдан</v>
          </cell>
          <cell r="M88">
            <v>43309</v>
          </cell>
          <cell r="N88" t="str">
            <v xml:space="preserve">ГУ МВД России по Саратовской области </v>
          </cell>
          <cell r="O88">
            <v>0</v>
          </cell>
          <cell r="P88" t="str">
            <v xml:space="preserve">Серия 6318 Номер 516967,Выдан 28.07.2018 ГУ МВД России по Саратовской области </v>
          </cell>
          <cell r="Q88" t="str">
            <v>Саратовская область, Балашовский район с. Малый мелик ул.садовая д.11</v>
          </cell>
          <cell r="R88" t="str">
            <v>Саратовская область, Балашовский район с. Малый мелик ул.садовая д.11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44649</v>
          </cell>
          <cell r="AA88" t="str">
            <v>29/03-46_2022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 t="str">
            <v>Болтабоев Хурсандбек  Кучкарович</v>
          </cell>
          <cell r="B89" t="str">
            <v>Стяжечник</v>
          </cell>
          <cell r="C89">
            <v>28488</v>
          </cell>
          <cell r="D89" t="str">
            <v>УЗБЕКИСТАН</v>
          </cell>
          <cell r="E89">
            <v>0</v>
          </cell>
          <cell r="F89">
            <v>0</v>
          </cell>
          <cell r="G89" t="str">
            <v>Иностранный паспорт</v>
          </cell>
          <cell r="H89" t="str">
            <v>Серия</v>
          </cell>
          <cell r="I89" t="str">
            <v>FA</v>
          </cell>
          <cell r="J89" t="str">
            <v>Номер</v>
          </cell>
          <cell r="K89">
            <v>1664254</v>
          </cell>
          <cell r="L89" t="str">
            <v>Выдан</v>
          </cell>
          <cell r="M89">
            <v>44200</v>
          </cell>
          <cell r="N89">
            <v>0</v>
          </cell>
          <cell r="O89">
            <v>0</v>
          </cell>
          <cell r="P89" t="str">
            <v xml:space="preserve">Серия FA Номер 1664254,Выдан 04.01.2021 </v>
          </cell>
          <cell r="Q89" t="str">
            <v>МО, Одинцовский р-н, р-п Новоивановское, ул. Западная 41Б</v>
          </cell>
          <cell r="R89" t="str">
            <v>МО, Одинцовский р-н, р-п Новоивановское, ул. Западная 41Б</v>
          </cell>
          <cell r="S89" t="str">
            <v>Патент: серия 77 № 2104425298 от 21.09.2021  Отдел внешней трудовой миграции УВМ ГУ МВД России по г. Москве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44585</v>
          </cell>
          <cell r="AA89" t="str">
            <v>24/01-15_2022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 t="str">
            <v>Иванченко Юрий Николаевич</v>
          </cell>
          <cell r="B90" t="str">
            <v>Подсобный рабочий</v>
          </cell>
          <cell r="C90">
            <v>24250</v>
          </cell>
          <cell r="D90" t="str">
            <v>РОССИЯ</v>
          </cell>
          <cell r="E90">
            <v>0</v>
          </cell>
          <cell r="F90">
            <v>0</v>
          </cell>
          <cell r="G90" t="str">
            <v>Паспорт гражданина РФ</v>
          </cell>
          <cell r="H90" t="str">
            <v>Серия</v>
          </cell>
          <cell r="I90">
            <v>6011</v>
          </cell>
          <cell r="J90" t="str">
            <v>Номер</v>
          </cell>
          <cell r="K90">
            <v>985343</v>
          </cell>
          <cell r="L90" t="str">
            <v>Выдан</v>
          </cell>
          <cell r="M90">
            <v>40729</v>
          </cell>
          <cell r="N90" t="str">
            <v>Межрайонным отделом России по Ростовской обасти в гор. Батайске</v>
          </cell>
          <cell r="O90">
            <v>0</v>
          </cell>
          <cell r="P90" t="str">
            <v>Серия 6011 Номер 985343,Выдан 05.07.2011 Межрайонным отделом России по Ростовской обасти в гор. Батайске</v>
          </cell>
          <cell r="Q90" t="str">
            <v>г. Батайск, ул. К. Цеткин, д. 129</v>
          </cell>
          <cell r="R90" t="str">
            <v>г. Батайск, ул. К. Цеткин, д. 129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44676</v>
          </cell>
          <cell r="AA90" t="str">
            <v>25/04-26_22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 t="str">
            <v>Бахвалов Евгений Александрович</v>
          </cell>
          <cell r="B91" t="str">
            <v>Подсобный рабочий</v>
          </cell>
          <cell r="C91">
            <v>31314</v>
          </cell>
          <cell r="D91" t="str">
            <v>РОССИЯ</v>
          </cell>
          <cell r="E91">
            <v>0</v>
          </cell>
          <cell r="F91">
            <v>0</v>
          </cell>
          <cell r="G91" t="str">
            <v>Паспорт гражданина РФ</v>
          </cell>
          <cell r="H91" t="str">
            <v>Серия</v>
          </cell>
          <cell r="I91">
            <v>4521</v>
          </cell>
          <cell r="J91" t="str">
            <v>Номер</v>
          </cell>
          <cell r="K91">
            <v>482289</v>
          </cell>
          <cell r="L91" t="str">
            <v>Выдан</v>
          </cell>
          <cell r="M91">
            <v>44438</v>
          </cell>
          <cell r="N91" t="str">
            <v xml:space="preserve"> ГУ МВД России по г. Москве</v>
          </cell>
          <cell r="O91">
            <v>0</v>
          </cell>
          <cell r="P91" t="str">
            <v>Серия 4521 Номер 482289,Выдан 30.08.2021  ГУ МВД России по г. Москве</v>
          </cell>
          <cell r="Q91" t="str">
            <v>Брянская обл., р-н Клетнянский, п. Клетня, ул. Пятницкого, д. 17</v>
          </cell>
          <cell r="R91" t="str">
            <v>Брянская обл., р-н Клетнянский, п. Клетня, ул. Пятницкого, д. 17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44676</v>
          </cell>
          <cell r="AA91" t="str">
            <v>25/04-25_22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 t="str">
            <v>Запорожан Виталий Алексеевич</v>
          </cell>
          <cell r="B92" t="str">
            <v>Подсобный рабочий</v>
          </cell>
          <cell r="C92">
            <v>33077</v>
          </cell>
          <cell r="D92" t="str">
            <v>РОССИЯ</v>
          </cell>
          <cell r="E92">
            <v>0</v>
          </cell>
          <cell r="F92">
            <v>0</v>
          </cell>
          <cell r="G92" t="str">
            <v>Паспорт гражданина РФ</v>
          </cell>
          <cell r="H92" t="str">
            <v>Серия</v>
          </cell>
          <cell r="I92">
            <v>1911</v>
          </cell>
          <cell r="J92" t="str">
            <v>Номер</v>
          </cell>
          <cell r="K92">
            <v>801306</v>
          </cell>
          <cell r="L92" t="str">
            <v>Выдан</v>
          </cell>
          <cell r="M92">
            <v>40924</v>
          </cell>
          <cell r="N92" t="str">
            <v>Отделением УФМС России по Вологодской области в Тотемском районе</v>
          </cell>
          <cell r="O92">
            <v>0</v>
          </cell>
          <cell r="P92" t="str">
            <v>Серия 1911 Номер 801306,Выдан 16.01.2012 Отделением УФМС России по Вологодской области в Тотемском районе</v>
          </cell>
          <cell r="Q92" t="str">
            <v>Вологодская обл., Тотемский р-н, пос. Советский, ул. Садовая, д. 18, кв. 4</v>
          </cell>
          <cell r="R92" t="str">
            <v>Вологодская обл., Тотемский р-н, пос. Советский, ул. Садовая, д. 18, кв. 4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44657</v>
          </cell>
          <cell r="AA92" t="str">
            <v>06/04-50_2022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 t="str">
            <v>Мирзамуратов Полат Алламбергенович</v>
          </cell>
          <cell r="B93" t="str">
            <v>Подсобный рабочий</v>
          </cell>
          <cell r="C93">
            <v>28344</v>
          </cell>
          <cell r="D93" t="str">
            <v>УЗБЕКИСТАН</v>
          </cell>
          <cell r="E93">
            <v>0</v>
          </cell>
          <cell r="F93">
            <v>0</v>
          </cell>
          <cell r="G93" t="str">
            <v>Иностранный паспорт</v>
          </cell>
          <cell r="H93" t="str">
            <v>Серия</v>
          </cell>
          <cell r="I93" t="str">
            <v>FK</v>
          </cell>
          <cell r="J93" t="str">
            <v>Номер</v>
          </cell>
          <cell r="K93" t="str">
            <v>0167112</v>
          </cell>
          <cell r="L93" t="str">
            <v>Выдан</v>
          </cell>
          <cell r="M93">
            <v>44359</v>
          </cell>
          <cell r="N93" t="str">
            <v>MIA 35218</v>
          </cell>
          <cell r="O93">
            <v>0</v>
          </cell>
          <cell r="P93" t="str">
            <v>Серия FK Номер 0167112,Выдан 12.06.2021 MIA 35218</v>
          </cell>
          <cell r="Q93" t="str">
            <v>г. Москва Мосрентген Мамыри, 3А</v>
          </cell>
          <cell r="R93" t="str">
            <v>г. Москва Мосрентген Мамыри, 3А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44686</v>
          </cell>
          <cell r="AA93" t="str">
            <v>05/05-51_2022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 t="str">
            <v>Нусратов Фаридун Тураджонович</v>
          </cell>
          <cell r="B94" t="str">
            <v>Подсобный рабочий</v>
          </cell>
          <cell r="C94">
            <v>37366</v>
          </cell>
          <cell r="D94" t="str">
            <v>ТАДЖИКИСТАН</v>
          </cell>
          <cell r="E94">
            <v>0</v>
          </cell>
          <cell r="F94">
            <v>0</v>
          </cell>
          <cell r="G94" t="str">
            <v>Иностранный паспорт</v>
          </cell>
          <cell r="H94" t="str">
            <v>Серия</v>
          </cell>
          <cell r="I94" t="str">
            <v>TJK</v>
          </cell>
          <cell r="J94" t="str">
            <v>Номер</v>
          </cell>
          <cell r="K94">
            <v>402720194</v>
          </cell>
          <cell r="L94" t="str">
            <v>Выдан</v>
          </cell>
          <cell r="M94">
            <v>43650</v>
          </cell>
          <cell r="N94" t="str">
            <v>МВД г.  Турсунзода</v>
          </cell>
          <cell r="O94">
            <v>0</v>
          </cell>
          <cell r="P94" t="str">
            <v>Серия TJK Номер 402720194,Выдан 04.07.2019 МВД г.  Турсунзода</v>
          </cell>
          <cell r="Q94" t="str">
            <v>г.Москва п. Краснопахорское, дер. Страдань, ул. Рябиновая д.28</v>
          </cell>
          <cell r="R94" t="str">
            <v>г.Москва п. Краснопахорское, дер. Страдань, ул. Рябиновая д.29</v>
          </cell>
          <cell r="S94" t="str">
            <v xml:space="preserve">Патент: серия 77 № 2102908973 от 16.07.2021  Отдел внешней трудовой миграции УВМ ГУ МВД 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44699</v>
          </cell>
          <cell r="AA94" t="str">
            <v>18/05-52_2022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 t="str">
            <v xml:space="preserve">Лутфулои Убайдуло </v>
          </cell>
          <cell r="B95" t="str">
            <v>Подсобный рабочий</v>
          </cell>
          <cell r="C95">
            <v>37208</v>
          </cell>
          <cell r="D95" t="str">
            <v>ТАДЖИКИСТАН</v>
          </cell>
          <cell r="E95">
            <v>0</v>
          </cell>
          <cell r="F95">
            <v>0</v>
          </cell>
          <cell r="G95" t="str">
            <v>Иностранный паспорт</v>
          </cell>
          <cell r="H95" t="str">
            <v>Серия</v>
          </cell>
          <cell r="I95" t="str">
            <v>TJK</v>
          </cell>
          <cell r="J95" t="str">
            <v>Номер</v>
          </cell>
          <cell r="K95">
            <v>402822077</v>
          </cell>
          <cell r="L95" t="str">
            <v>Выдан</v>
          </cell>
          <cell r="M95">
            <v>43720</v>
          </cell>
          <cell r="N95" t="str">
            <v>МВД Хамадони</v>
          </cell>
          <cell r="O95">
            <v>0</v>
          </cell>
          <cell r="P95" t="str">
            <v>Серия TJK Номер 402822077,Выдан 12.09.2019 МВД Хамадони</v>
          </cell>
          <cell r="Q95" t="str">
            <v>г.Москва п. Краснопахорское, дер. Страдань, ул. Рябиновая д.28</v>
          </cell>
          <cell r="R95" t="str">
            <v>г.Москва п. Краснопахорское, дер. Страдань, ул. Рябиновая д.29</v>
          </cell>
          <cell r="S95" t="str">
            <v xml:space="preserve">Патент: серия 77 № 2103703182 от24.08.2021  Отдел внешней трудовой миграции УВМ ГУ МВД 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44699</v>
          </cell>
          <cell r="AA95" t="str">
            <v>18/05-53_2022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 t="str">
            <v>Чалолзода Саймидин</v>
          </cell>
          <cell r="B96" t="str">
            <v>Подсобный рабочий</v>
          </cell>
          <cell r="C96">
            <v>37961</v>
          </cell>
          <cell r="D96" t="str">
            <v>ТАДЖИКИСТАН</v>
          </cell>
          <cell r="E96">
            <v>0</v>
          </cell>
          <cell r="F96">
            <v>0</v>
          </cell>
          <cell r="G96" t="str">
            <v>Иностранный паспорт</v>
          </cell>
          <cell r="H96" t="str">
            <v>Серия</v>
          </cell>
          <cell r="I96" t="str">
            <v>TJK</v>
          </cell>
          <cell r="J96" t="str">
            <v>Номер</v>
          </cell>
          <cell r="K96">
            <v>403552490</v>
          </cell>
          <cell r="L96" t="str">
            <v>Выдан</v>
          </cell>
          <cell r="M96">
            <v>44461</v>
          </cell>
          <cell r="N96" t="str">
            <v>МВД г.Пахтаобод</v>
          </cell>
          <cell r="O96">
            <v>0</v>
          </cell>
          <cell r="P96" t="str">
            <v>Серия TJK Номер 403552490,Выдан 22.09.2021 МВД г.Пахтаобод</v>
          </cell>
          <cell r="Q96" t="str">
            <v>г.Москва п. Краснопахорское, дер. Страдань, ул. Рябиновая д.28</v>
          </cell>
          <cell r="R96" t="str">
            <v>г.Москва п. Краснопахорское, дер. Страдань, ул. Рябиновая д.28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44699</v>
          </cell>
          <cell r="AA96" t="str">
            <v>18/05-54_2022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 t="str">
            <v>Шаволи Неъматулло</v>
          </cell>
          <cell r="B97" t="str">
            <v>Подсобный рабочий</v>
          </cell>
          <cell r="C97">
            <v>36184</v>
          </cell>
          <cell r="D97" t="str">
            <v>ТАДЖИКИСТАН</v>
          </cell>
          <cell r="E97">
            <v>0</v>
          </cell>
          <cell r="F97">
            <v>0</v>
          </cell>
          <cell r="G97" t="str">
            <v>Иностранный паспорт</v>
          </cell>
          <cell r="H97" t="str">
            <v>Серия</v>
          </cell>
          <cell r="I97" t="str">
            <v>TJK</v>
          </cell>
          <cell r="J97" t="str">
            <v>Номер</v>
          </cell>
          <cell r="K97">
            <v>401636845</v>
          </cell>
          <cell r="L97" t="str">
            <v>Выдан</v>
          </cell>
          <cell r="M97">
            <v>42959</v>
          </cell>
          <cell r="N97" t="str">
            <v>МВД Таджикистана</v>
          </cell>
          <cell r="O97">
            <v>0</v>
          </cell>
          <cell r="P97" t="str">
            <v>Серия TJK Номер 401636845,Выдан 12.08.2017 МВД Таджикистана</v>
          </cell>
          <cell r="Q97" t="str">
            <v>г.Москва п. Краснопахорское, дер. Страдань, ул. Рябиновая д.28</v>
          </cell>
          <cell r="R97" t="str">
            <v>г.Москва п. Краснопахорское, дер. Страдань, ул. Рябиновая д.28</v>
          </cell>
          <cell r="S97" t="str">
            <v xml:space="preserve">Патент: серия 77 № 2104948058 от 08.10.2021  Отдел внешней трудовой миграции УВМ ГУ МВД 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44699</v>
          </cell>
          <cell r="AA97" t="str">
            <v>18/05-55_2022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 t="str">
            <v>Нусратов Далер Маъруфджонович</v>
          </cell>
          <cell r="B98" t="str">
            <v>Подсобный рабочий</v>
          </cell>
          <cell r="C98">
            <v>36180</v>
          </cell>
          <cell r="D98" t="str">
            <v>ТАДЖИКИСТАН</v>
          </cell>
          <cell r="E98">
            <v>0</v>
          </cell>
          <cell r="F98">
            <v>0</v>
          </cell>
          <cell r="G98" t="str">
            <v>Иностранный паспорт</v>
          </cell>
          <cell r="H98" t="str">
            <v>Серия</v>
          </cell>
          <cell r="I98" t="str">
            <v>TJK</v>
          </cell>
          <cell r="J98" t="str">
            <v>Номер</v>
          </cell>
          <cell r="K98">
            <v>401614125</v>
          </cell>
          <cell r="L98" t="str">
            <v>Выдан</v>
          </cell>
          <cell r="M98">
            <v>42942</v>
          </cell>
          <cell r="N98" t="str">
            <v>МВД г.  Турсунзода</v>
          </cell>
          <cell r="O98">
            <v>0</v>
          </cell>
          <cell r="P98" t="str">
            <v>Серия TJK Номер 401614125,Выдан 26.07.2017 МВД г.  Турсунзода</v>
          </cell>
          <cell r="Q98" t="str">
            <v>г.Москва п. Краснопахорское, дер. Страдань, ул. Рябиновая д.28</v>
          </cell>
          <cell r="R98" t="str">
            <v>г.Москва п. Краснопахорское, дер. Страдань, ул. Рябиновая д.28</v>
          </cell>
          <cell r="S98" t="str">
            <v xml:space="preserve">Патент: серия 77 № 2103715484 от 16.07.2021  Отдел внешней трудовой миграции УВМ ГУ МВД 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44699</v>
          </cell>
          <cell r="AA98" t="str">
            <v>18/05-56_2022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 t="str">
            <v>Красноруцкая Екакатерина Юрьевна</v>
          </cell>
          <cell r="B99" t="str">
            <v>Бухгалтер</v>
          </cell>
          <cell r="C99">
            <v>28201</v>
          </cell>
          <cell r="D99" t="str">
            <v>РОССИЯ</v>
          </cell>
          <cell r="E99" t="str">
            <v>503214204716</v>
          </cell>
          <cell r="F99" t="str">
            <v>041-401-912-98</v>
          </cell>
          <cell r="G99" t="str">
            <v>Паспорт гражданина РФ</v>
          </cell>
          <cell r="H99" t="str">
            <v>Серия</v>
          </cell>
          <cell r="I99">
            <v>4621</v>
          </cell>
          <cell r="J99" t="str">
            <v>Номер</v>
          </cell>
          <cell r="K99">
            <v>342057</v>
          </cell>
          <cell r="L99" t="str">
            <v>Выдан</v>
          </cell>
          <cell r="M99">
            <v>44693</v>
          </cell>
          <cell r="N99" t="str">
            <v>ГУ МВД РОССИИ ПО МОСКОВСКОЙ ОБЛАСТИ</v>
          </cell>
          <cell r="O99">
            <v>0</v>
          </cell>
          <cell r="P99" t="str">
            <v>Серия 4621 Номер 342057,Выдан 12.05.2022 ГУ МВД РОССИИ ПО МОСКОВСКОЙ ОБЛАСТИ</v>
          </cell>
          <cell r="Q99" t="str">
            <v>Моссковская область, п. Власиха, мкр. Школьный д.2 кв. 76</v>
          </cell>
          <cell r="R99" t="str">
            <v>Моссковская область, п. Власиха, мкр. Школьный д.2 кв. 77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44700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BC99" t="str">
            <v>40817810840018500000</v>
          </cell>
          <cell r="BD99" t="str">
            <v>ПАО СБЕРБАНК</v>
          </cell>
          <cell r="BE99" t="str">
            <v>044525225</v>
          </cell>
        </row>
        <row r="100">
          <cell r="A100" t="str">
            <v>Джобиров Абдумуталиб Аловдинович</v>
          </cell>
          <cell r="B100" t="str">
            <v>Подсобный рабочий</v>
          </cell>
          <cell r="C100">
            <v>26652</v>
          </cell>
          <cell r="D100" t="str">
            <v>ТАДЖИКИСТАН</v>
          </cell>
          <cell r="E100">
            <v>0</v>
          </cell>
          <cell r="F100">
            <v>0</v>
          </cell>
          <cell r="G100" t="str">
            <v>Иностранный паспорт</v>
          </cell>
          <cell r="H100" t="str">
            <v>Серия</v>
          </cell>
          <cell r="I100" t="str">
            <v>TJK</v>
          </cell>
          <cell r="J100" t="str">
            <v>Номер</v>
          </cell>
          <cell r="K100">
            <v>402983291</v>
          </cell>
          <cell r="L100" t="str">
            <v>Выдан</v>
          </cell>
          <cell r="M100">
            <v>43836</v>
          </cell>
          <cell r="N100" t="str">
            <v>МВД г.Чайхун</v>
          </cell>
          <cell r="O100">
            <v>0</v>
          </cell>
          <cell r="P100" t="str">
            <v>Серия TJK Номер 402983291,Выдан 06.01.2020 МВД г.Чайхун</v>
          </cell>
          <cell r="Q100" t="str">
            <v>г. Москва Мосрентген Мамыри, 3А</v>
          </cell>
          <cell r="R100" t="str">
            <v>г. Москва Мосрентген Мамыри, 3А</v>
          </cell>
          <cell r="S100" t="str">
            <v xml:space="preserve">Патент: серия 77 № 2102631471 от 01.07.2021  Отдел внешней трудовой миграции УВМ ГУ МВД 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44704</v>
          </cell>
          <cell r="AA100" t="str">
            <v>23/05-57_2022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 t="str">
            <v>Исроилов Сиротулло Абдухафизович</v>
          </cell>
          <cell r="B101" t="str">
            <v>Подсобный рабочий</v>
          </cell>
          <cell r="C101">
            <v>36623</v>
          </cell>
          <cell r="D101" t="str">
            <v>ТАДЖИКИСТАН</v>
          </cell>
          <cell r="E101">
            <v>0</v>
          </cell>
          <cell r="F101">
            <v>0</v>
          </cell>
          <cell r="G101" t="str">
            <v>Иностранный паспорт</v>
          </cell>
          <cell r="H101" t="str">
            <v>Серия</v>
          </cell>
          <cell r="I101" t="str">
            <v>TJK</v>
          </cell>
          <cell r="J101" t="str">
            <v>Номер</v>
          </cell>
          <cell r="K101">
            <v>401956513</v>
          </cell>
          <cell r="L101" t="str">
            <v>Выдан</v>
          </cell>
          <cell r="M101">
            <v>43158</v>
          </cell>
          <cell r="N101" t="str">
            <v>МВД г. Кубодиен</v>
          </cell>
          <cell r="O101">
            <v>0</v>
          </cell>
          <cell r="P101" t="str">
            <v>Серия TJK Номер 401956513,Выдан 27.02.2018 МВД г. Кубодиен</v>
          </cell>
          <cell r="Q101" t="str">
            <v>г. Москва Бутово ул. Брусилова д.41</v>
          </cell>
          <cell r="R101" t="str">
            <v>г. Москва Бутово ул. Брусилова д.41</v>
          </cell>
          <cell r="S101" t="str">
            <v xml:space="preserve">Патент: серия 77 № 2204415663 от 29.01.2022  Отдел внешней трудовой миграции УВМ ГУ МВД 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44704</v>
          </cell>
          <cell r="AA101" t="str">
            <v>23/05-58_2022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 t="str">
            <v>Табинбаев Бекзод Мажит Угли</v>
          </cell>
          <cell r="B102" t="str">
            <v>Подсобный рабочий</v>
          </cell>
          <cell r="C102">
            <v>36910</v>
          </cell>
          <cell r="D102" t="str">
            <v>УЗБЕКИСТАН</v>
          </cell>
          <cell r="E102" t="str">
            <v>775144514183</v>
          </cell>
          <cell r="F102">
            <v>0</v>
          </cell>
          <cell r="G102" t="str">
            <v>Иностранный паспорт</v>
          </cell>
          <cell r="H102" t="str">
            <v>Серия</v>
          </cell>
          <cell r="I102" t="str">
            <v>FK</v>
          </cell>
          <cell r="J102" t="str">
            <v>Номер</v>
          </cell>
          <cell r="K102" t="str">
            <v>0288667</v>
          </cell>
          <cell r="L102" t="str">
            <v>Выдан</v>
          </cell>
          <cell r="M102">
            <v>44601</v>
          </cell>
          <cell r="N102" t="str">
            <v>MIA 35218</v>
          </cell>
          <cell r="O102">
            <v>0</v>
          </cell>
          <cell r="P102" t="str">
            <v>Серия FK Номер 0288667,Выдан 09.02.2022 MIA 35218</v>
          </cell>
          <cell r="Q102" t="str">
            <v>г. Москва Мосрентген Мамыри, 3А</v>
          </cell>
          <cell r="R102" t="str">
            <v>г. Москва Мосрентген Мамыри, 3А</v>
          </cell>
          <cell r="S102" t="str">
            <v xml:space="preserve">Патент: серия 77 №2201329430 от29.03.2022  Отдел внешней трудовой миграции УВМ ГУ МВД </v>
          </cell>
          <cell r="T102">
            <v>0</v>
          </cell>
          <cell r="U102">
            <v>178</v>
          </cell>
          <cell r="V102">
            <v>48</v>
          </cell>
          <cell r="W102">
            <v>41</v>
          </cell>
          <cell r="X102">
            <v>0</v>
          </cell>
          <cell r="Y102">
            <v>0</v>
          </cell>
          <cell r="Z102">
            <v>44704</v>
          </cell>
          <cell r="AA102" t="str">
            <v>23/05-59_2022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 t="str">
            <v>Давлатов Курбонали Шарофидинович</v>
          </cell>
          <cell r="B103" t="str">
            <v>Подсобный рабочий</v>
          </cell>
          <cell r="C103">
            <v>35183</v>
          </cell>
          <cell r="D103" t="str">
            <v>ТАДЖИКИСТАН</v>
          </cell>
          <cell r="E103" t="str">
            <v>770177283951</v>
          </cell>
          <cell r="F103">
            <v>0</v>
          </cell>
          <cell r="G103" t="str">
            <v>Иностранный паспорт</v>
          </cell>
          <cell r="H103" t="str">
            <v>Серия</v>
          </cell>
          <cell r="I103" t="str">
            <v>TJK</v>
          </cell>
          <cell r="J103" t="str">
            <v>Номер</v>
          </cell>
          <cell r="K103">
            <v>400621302</v>
          </cell>
          <cell r="L103" t="str">
            <v>Выдан</v>
          </cell>
          <cell r="M103">
            <v>42115</v>
          </cell>
          <cell r="N103" t="str">
            <v>МВД г. Чоми</v>
          </cell>
          <cell r="O103">
            <v>0</v>
          </cell>
          <cell r="P103" t="str">
            <v>Серия TJK Номер 400621302,Выдан 21.04.2015 МВД г. Чоми</v>
          </cell>
          <cell r="Q103" t="str">
            <v>г.Москва п. Новофедоровское д. Архангельское дом 4</v>
          </cell>
          <cell r="R103" t="str">
            <v>г.Москва п. Новофедоровское д. Архангельское дом 5</v>
          </cell>
          <cell r="S103" t="str">
            <v xml:space="preserve">Патент: серия 77 №2105326821 от20.10.2021  Отдел внешней трудовой миграции УВМ ГУ МВД </v>
          </cell>
          <cell r="T103">
            <v>0</v>
          </cell>
          <cell r="U103">
            <v>172</v>
          </cell>
          <cell r="V103">
            <v>48</v>
          </cell>
          <cell r="W103">
            <v>41</v>
          </cell>
          <cell r="X103">
            <v>0</v>
          </cell>
          <cell r="Y103">
            <v>0</v>
          </cell>
          <cell r="Z103">
            <v>44704</v>
          </cell>
          <cell r="AA103" t="str">
            <v>23/05-60_2022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 t="str">
            <v>Абдулваххобов Абдулхамид Пулодович</v>
          </cell>
          <cell r="B104" t="str">
            <v>Подсобный рабочий</v>
          </cell>
          <cell r="C104">
            <v>26490</v>
          </cell>
          <cell r="D104" t="str">
            <v>ТАДЖИКИСТАН</v>
          </cell>
          <cell r="E104">
            <v>0</v>
          </cell>
          <cell r="F104">
            <v>0</v>
          </cell>
          <cell r="G104" t="str">
            <v>Иностранный паспорт</v>
          </cell>
          <cell r="H104" t="str">
            <v>Серия</v>
          </cell>
          <cell r="I104" t="str">
            <v>TJK</v>
          </cell>
          <cell r="J104" t="str">
            <v>Номер</v>
          </cell>
          <cell r="K104">
            <v>401712150</v>
          </cell>
          <cell r="L104" t="str">
            <v>Выдан</v>
          </cell>
          <cell r="M104">
            <v>42996</v>
          </cell>
          <cell r="N104" t="str">
            <v>МВД Таджикистана</v>
          </cell>
          <cell r="O104">
            <v>0</v>
          </cell>
          <cell r="P104" t="str">
            <v>Серия TJK Номер 401712150,Выдан 18.09.2017 МВД Таджикистана</v>
          </cell>
          <cell r="Q104" t="str">
            <v>г.Москва, Силикатный проезд 19/2 стр 28 комната 301</v>
          </cell>
          <cell r="R104" t="str">
            <v>г.Москва, Силикатный проезд 19/2 стр 28 комната 301</v>
          </cell>
          <cell r="S104" t="str">
            <v xml:space="preserve">Патент: серия 77 №21033927701 от11.08.2021  Отдел внешней трудовой миграции УВМ ГУ МВД 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44705</v>
          </cell>
          <cell r="AA104" t="str">
            <v>24/05-61_2022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 t="str">
            <v>Комилджони Мирзомудин</v>
          </cell>
          <cell r="B105" t="str">
            <v>Подсобный рабочий</v>
          </cell>
          <cell r="C105">
            <v>44768</v>
          </cell>
          <cell r="D105" t="str">
            <v>ТАДЖИКИСТАН</v>
          </cell>
          <cell r="E105" t="str">
            <v>972101278213</v>
          </cell>
          <cell r="F105">
            <v>0</v>
          </cell>
          <cell r="G105" t="str">
            <v>Иностранный паспорт</v>
          </cell>
          <cell r="H105" t="str">
            <v>Серия</v>
          </cell>
          <cell r="I105" t="str">
            <v>TJK</v>
          </cell>
          <cell r="J105" t="str">
            <v>Номер</v>
          </cell>
          <cell r="K105">
            <v>402594958</v>
          </cell>
          <cell r="L105" t="str">
            <v>Выдан</v>
          </cell>
          <cell r="M105">
            <v>43573</v>
          </cell>
          <cell r="N105" t="str">
            <v>МВД г. Муминобод</v>
          </cell>
          <cell r="O105">
            <v>0</v>
          </cell>
          <cell r="P105" t="str">
            <v>Серия TJK Номер 402594958,Выдан 18.04.2019 МВД г. Муминобод</v>
          </cell>
          <cell r="Q105" t="str">
            <v>РОССИЯ, 107113, Москва г, ул Сокольнический Вал, д. 1Ж, стр. 4</v>
          </cell>
          <cell r="R105" t="str">
            <v>РОССИЯ, 107113, Москва г, ул Сокольнический Вал, д. 1Ж, стр. 4</v>
          </cell>
          <cell r="S105" t="str">
            <v xml:space="preserve">Патент: серия 77 №2201471719 от06.04.2022  Отдел внешней трудовой миграции УВМ ГУ МВД 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44705</v>
          </cell>
          <cell r="AA105" t="str">
            <v>24/05-62_2022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 t="str">
            <v>Махмудов Асадулло Хабибович</v>
          </cell>
          <cell r="B106" t="str">
            <v>Подсобный рабочий</v>
          </cell>
          <cell r="C106">
            <v>25511</v>
          </cell>
          <cell r="D106" t="str">
            <v>ТАДЖИКИСТАН</v>
          </cell>
          <cell r="E106">
            <v>0</v>
          </cell>
          <cell r="F106">
            <v>0</v>
          </cell>
          <cell r="G106" t="str">
            <v>Иностранный паспорт</v>
          </cell>
          <cell r="H106" t="str">
            <v>Серия</v>
          </cell>
          <cell r="I106" t="str">
            <v>TJK</v>
          </cell>
          <cell r="J106" t="str">
            <v>Номер</v>
          </cell>
          <cell r="K106">
            <v>402281717</v>
          </cell>
          <cell r="L106" t="str">
            <v>Выдан</v>
          </cell>
          <cell r="M106">
            <v>43354</v>
          </cell>
          <cell r="N106" t="str">
            <v>МВД Таджикистана</v>
          </cell>
          <cell r="O106">
            <v>0</v>
          </cell>
          <cell r="P106" t="str">
            <v>Серия TJK Номер 402281717,Выдан 11.09.2018 МВД Таджикистана</v>
          </cell>
          <cell r="Q106" t="str">
            <v>РОССИЯ, 107113, Москва г, ул Сокольнический Вал, д. 1Ж, стр. 4</v>
          </cell>
          <cell r="R106" t="str">
            <v>РОССИЯ, 107113, Москва г, ул Сокольнический Вал, д. 1Ж, стр. 4</v>
          </cell>
          <cell r="S106" t="str">
            <v xml:space="preserve">Патент: серия 77 №2105688772 от10.11.2021  Отдел внешней трудовой миграции УВМ ГУ МВД 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44705</v>
          </cell>
          <cell r="AA106" t="str">
            <v>24/05-63_2022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</row>
        <row r="107">
          <cell r="A107" t="str">
            <v>Нуров Эмомали Рамазонович</v>
          </cell>
          <cell r="B107" t="str">
            <v>Подсобный рабочий</v>
          </cell>
          <cell r="C107">
            <v>34215</v>
          </cell>
          <cell r="D107" t="str">
            <v>ТАДЖИКИСТАН</v>
          </cell>
          <cell r="E107">
            <v>0</v>
          </cell>
          <cell r="F107">
            <v>0</v>
          </cell>
          <cell r="G107" t="str">
            <v>Иностранный паспорт</v>
          </cell>
          <cell r="H107" t="str">
            <v>Серия</v>
          </cell>
          <cell r="I107" t="str">
            <v>TJK</v>
          </cell>
          <cell r="J107" t="str">
            <v>Номер</v>
          </cell>
          <cell r="K107">
            <v>403347388</v>
          </cell>
          <cell r="L107" t="str">
            <v>Выдан</v>
          </cell>
          <cell r="M107">
            <v>44333</v>
          </cell>
          <cell r="N107" t="str">
            <v>МВД г. Муминобод</v>
          </cell>
          <cell r="O107">
            <v>0</v>
          </cell>
          <cell r="P107" t="str">
            <v>Серия TJK Номер 403347388,Выдан 17.05.2021 МВД г. Муминобод</v>
          </cell>
          <cell r="Q107" t="str">
            <v>РОССИЯ, 107113, Москва г, ул Сокольнический Вал, д. 1Ж, стр. 4</v>
          </cell>
          <cell r="R107" t="str">
            <v>РОССИЯ, 107113, Москва г, ул Сокольнический Вал, д. 1Ж, стр. 4</v>
          </cell>
          <cell r="S107" t="str">
            <v xml:space="preserve">Патент: серия 77 №2105285808 от19.10..2021  Отдел внешней трудовой миграции УВМ ГУ МВД 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44705</v>
          </cell>
          <cell r="AA107" t="str">
            <v>24/05-64_2022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A108" t="str">
            <v>Халимзода Шукрулло Саъди</v>
          </cell>
          <cell r="B108" t="str">
            <v>Подсобный рабочий</v>
          </cell>
          <cell r="C108">
            <v>37264</v>
          </cell>
          <cell r="D108" t="str">
            <v>ТАДЖИКИСТАН</v>
          </cell>
          <cell r="E108">
            <v>0</v>
          </cell>
          <cell r="F108">
            <v>0</v>
          </cell>
          <cell r="G108" t="str">
            <v>Иностранный паспорт</v>
          </cell>
          <cell r="H108" t="str">
            <v>Серия</v>
          </cell>
          <cell r="I108" t="str">
            <v>TJK</v>
          </cell>
          <cell r="J108" t="str">
            <v>Номер</v>
          </cell>
          <cell r="K108">
            <v>402834361</v>
          </cell>
          <cell r="L108" t="str">
            <v>Выдан</v>
          </cell>
          <cell r="M108">
            <v>43722</v>
          </cell>
          <cell r="N108" t="str">
            <v>МВД г. Кулоб</v>
          </cell>
          <cell r="O108">
            <v>0</v>
          </cell>
          <cell r="P108" t="str">
            <v>Серия TJK Номер 402834361,Выдан 14.09.2019 МВД г. Кулоб</v>
          </cell>
          <cell r="Q108" t="str">
            <v>РОССИЯ, 107113, Москва г, ул Сокольнический Вал, д. 1Ж, стр. 4</v>
          </cell>
          <cell r="R108" t="str">
            <v>РОССИЯ, 107113, Москва г, ул Сокольнический Вал, д. 1Ж, стр. 4</v>
          </cell>
          <cell r="S108" t="str">
            <v xml:space="preserve">Патент: серия 77 №2104331000 от16.09.2021  Отдел внешней трудовой миграции УВМ ГУ МВД 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44705</v>
          </cell>
          <cell r="AA108" t="str">
            <v>24/05-65_2022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A109" t="str">
            <v xml:space="preserve">Шохруки Хикматулло </v>
          </cell>
          <cell r="B109" t="str">
            <v>Подсобный рабочий</v>
          </cell>
          <cell r="C109">
            <v>35613</v>
          </cell>
          <cell r="D109" t="str">
            <v>ТАДЖИКИСТАН</v>
          </cell>
          <cell r="E109">
            <v>0</v>
          </cell>
          <cell r="F109">
            <v>0</v>
          </cell>
          <cell r="G109" t="str">
            <v>Иностранный паспорт</v>
          </cell>
          <cell r="H109" t="str">
            <v>Серия</v>
          </cell>
          <cell r="I109" t="str">
            <v>TJK</v>
          </cell>
          <cell r="J109" t="str">
            <v>Номер</v>
          </cell>
          <cell r="K109">
            <v>403486922</v>
          </cell>
          <cell r="L109" t="str">
            <v>Выдан</v>
          </cell>
          <cell r="M109">
            <v>44428</v>
          </cell>
          <cell r="N109" t="str">
            <v>МВД г. Душанбе</v>
          </cell>
          <cell r="O109">
            <v>0</v>
          </cell>
          <cell r="P109" t="str">
            <v>Серия TJK Номер 403486922,Выдан 20.08.2021 МВД г. Душанбе</v>
          </cell>
          <cell r="Q109" t="str">
            <v>РОССИЯ, 107113, Москва г, ул Сокольнический Вал, д. 1Ж, стр. 4</v>
          </cell>
          <cell r="R109" t="str">
            <v>РОССИЯ, 107113, Москва г, ул Сокольнический Вал, д. 1Ж, стр. 4</v>
          </cell>
          <cell r="S109" t="str">
            <v xml:space="preserve">Патент: серия 77 №2105244294 от 18.10.2021  Отдел внешней трудовой миграции УВМ ГУ МВД 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44705</v>
          </cell>
          <cell r="AA109" t="str">
            <v>24/05-66_2022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</row>
        <row r="110">
          <cell r="A110" t="str">
            <v>Хасанов Парвиз Сайджафарович</v>
          </cell>
          <cell r="B110" t="str">
            <v>Подсобный рабочий</v>
          </cell>
          <cell r="C110">
            <v>32305</v>
          </cell>
          <cell r="D110" t="str">
            <v>ТАДЖИКИСТАН</v>
          </cell>
          <cell r="E110">
            <v>0</v>
          </cell>
          <cell r="F110">
            <v>0</v>
          </cell>
          <cell r="G110" t="str">
            <v>Иностранный паспорт</v>
          </cell>
          <cell r="H110" t="str">
            <v>Серия</v>
          </cell>
          <cell r="I110" t="str">
            <v>TJK</v>
          </cell>
          <cell r="J110" t="str">
            <v>Номер</v>
          </cell>
          <cell r="K110">
            <v>401280423</v>
          </cell>
          <cell r="L110" t="str">
            <v>Выдан</v>
          </cell>
          <cell r="M110">
            <v>42717</v>
          </cell>
          <cell r="N110" t="str">
            <v>МВД Таджикистана</v>
          </cell>
          <cell r="O110">
            <v>0</v>
          </cell>
          <cell r="P110" t="str">
            <v>Серия TJK Номер 401280423,Выдан 13.12.2016 МВД Таджикистана</v>
          </cell>
          <cell r="Q110" t="str">
            <v>г. Москва Бутово ул. Брусилова д.41</v>
          </cell>
          <cell r="R110" t="str">
            <v>г. Москва Бутово ул. Брусилова д.41</v>
          </cell>
          <cell r="S110" t="str">
            <v xml:space="preserve">Патент: серия 77 №2200517431 от 10.02.2022  Отдел внешней трудовой миграции УВМ ГУ МВД </v>
          </cell>
          <cell r="T110">
            <v>0</v>
          </cell>
          <cell r="U110">
            <v>170</v>
          </cell>
          <cell r="V110">
            <v>48</v>
          </cell>
          <cell r="W110">
            <v>41</v>
          </cell>
          <cell r="X110">
            <v>0</v>
          </cell>
          <cell r="Y110">
            <v>0</v>
          </cell>
          <cell r="Z110">
            <v>44706</v>
          </cell>
          <cell r="AA110" t="str">
            <v>25/05-67_2022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</row>
        <row r="111">
          <cell r="A111" t="str">
            <v>Усмонзода Фирдавсии Мехрубон</v>
          </cell>
          <cell r="B111" t="str">
            <v>Подсобный рабочий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 t="str">
            <v>Серия</v>
          </cell>
          <cell r="I111">
            <v>0</v>
          </cell>
          <cell r="J111" t="str">
            <v>Номер</v>
          </cell>
          <cell r="K111">
            <v>0</v>
          </cell>
          <cell r="L111" t="str">
            <v>Выдан</v>
          </cell>
          <cell r="M111">
            <v>0</v>
          </cell>
          <cell r="N111">
            <v>0</v>
          </cell>
          <cell r="O111">
            <v>0</v>
          </cell>
          <cell r="P111" t="str">
            <v xml:space="preserve">Серия  Номер ,Выдан 00.01.1900 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170</v>
          </cell>
          <cell r="V111">
            <v>48</v>
          </cell>
          <cell r="W111">
            <v>39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BC111" t="str">
            <v>40820810755860900000</v>
          </cell>
          <cell r="BD111" t="str">
            <v>ПАО СБЕРБАНК</v>
          </cell>
          <cell r="BE111" t="str">
            <v>044030653</v>
          </cell>
        </row>
        <row r="112">
          <cell r="A112" t="str">
            <v>Крюков Виталий Андреевич</v>
          </cell>
          <cell r="B112" t="str">
            <v>Кровельщик</v>
          </cell>
          <cell r="C112">
            <v>33605</v>
          </cell>
          <cell r="D112" t="str">
            <v>РОССИЯ</v>
          </cell>
          <cell r="E112">
            <v>0</v>
          </cell>
          <cell r="F112">
            <v>0</v>
          </cell>
          <cell r="G112" t="str">
            <v>Паспорт гражданина РФ</v>
          </cell>
          <cell r="H112" t="str">
            <v>Серия</v>
          </cell>
          <cell r="I112">
            <v>4617</v>
          </cell>
          <cell r="J112" t="str">
            <v>Номер</v>
          </cell>
          <cell r="K112">
            <v>767999</v>
          </cell>
          <cell r="L112" t="str">
            <v>Выдан</v>
          </cell>
          <cell r="M112">
            <v>43063</v>
          </cell>
          <cell r="N112" t="str">
            <v>ТИ №3 межрайонного ОУФМС России по Московской области в городском поселении Одинцово</v>
          </cell>
          <cell r="O112">
            <v>0</v>
          </cell>
          <cell r="P112" t="str">
            <v>Серия 4617 Номер 767999,Выдан 24.11.2017 ТИ №3 межрайонного ОУФМС России по Московской области в городском поселении Одинцово</v>
          </cell>
          <cell r="Q112" t="str">
            <v>Московская обл. г.Одинцово ул. Сколковская, д.7а кв.307</v>
          </cell>
          <cell r="R112" t="str">
            <v>Московская обл. г.Одинцово ул. Сколковская, д.7а кв.308</v>
          </cell>
          <cell r="S112">
            <v>0</v>
          </cell>
          <cell r="T112">
            <v>0</v>
          </cell>
          <cell r="U112">
            <v>189</v>
          </cell>
          <cell r="V112">
            <v>54</v>
          </cell>
          <cell r="W112">
            <v>43</v>
          </cell>
          <cell r="X112">
            <v>0</v>
          </cell>
          <cell r="Y112">
            <v>0</v>
          </cell>
          <cell r="Z112">
            <v>44711</v>
          </cell>
          <cell r="AA112" t="str">
            <v>30/05-68_2022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</row>
        <row r="113">
          <cell r="A113" t="str">
            <v>Горулев Сергей Александрович</v>
          </cell>
          <cell r="B113" t="str">
            <v>Кровельщик</v>
          </cell>
          <cell r="C113">
            <v>34077</v>
          </cell>
          <cell r="D113" t="str">
            <v>БЕЛАРУСЬ</v>
          </cell>
          <cell r="E113">
            <v>0</v>
          </cell>
          <cell r="F113">
            <v>0</v>
          </cell>
          <cell r="G113" t="str">
            <v>Иностранный паспорт</v>
          </cell>
          <cell r="H113" t="str">
            <v>Серия</v>
          </cell>
          <cell r="I113" t="str">
            <v>КВ</v>
          </cell>
          <cell r="J113" t="str">
            <v>Номер</v>
          </cell>
          <cell r="K113">
            <v>2333651</v>
          </cell>
          <cell r="L113" t="str">
            <v>Выдан</v>
          </cell>
          <cell r="M113">
            <v>43231</v>
          </cell>
          <cell r="N113" t="str">
            <v>Чаусский РОВД Могилевской области</v>
          </cell>
          <cell r="O113">
            <v>0</v>
          </cell>
          <cell r="P113" t="str">
            <v>Серия КВ Номер 2333651,Выдан 11.05.2018 Чаусский РОВД Могилевской области</v>
          </cell>
          <cell r="Q113" t="str">
            <v>г. МОСКВА УЛ. Маршала Василевского дом 13 к.1 кв 28</v>
          </cell>
          <cell r="R113" t="str">
            <v>г. МОСКВА УЛ. Маршала Василевского дом 13 к.1 кв 29</v>
          </cell>
          <cell r="S113">
            <v>0</v>
          </cell>
          <cell r="T113">
            <v>0</v>
          </cell>
          <cell r="U113">
            <v>180</v>
          </cell>
          <cell r="V113">
            <v>52</v>
          </cell>
          <cell r="W113">
            <v>44</v>
          </cell>
          <cell r="X113">
            <v>0</v>
          </cell>
          <cell r="Y113">
            <v>0</v>
          </cell>
          <cell r="Z113">
            <v>44712</v>
          </cell>
          <cell r="AA113" t="str">
            <v>31/05-69_2022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BA113">
            <v>89663806944</v>
          </cell>
        </row>
        <row r="114">
          <cell r="A114">
            <v>0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 t="str">
            <v>Серия</v>
          </cell>
          <cell r="I114">
            <v>0</v>
          </cell>
          <cell r="J114" t="str">
            <v>Номер</v>
          </cell>
          <cell r="K114">
            <v>0</v>
          </cell>
          <cell r="L114" t="str">
            <v>Выдан</v>
          </cell>
          <cell r="M114">
            <v>0</v>
          </cell>
          <cell r="N114">
            <v>0</v>
          </cell>
          <cell r="O114">
            <v>0</v>
          </cell>
          <cell r="P114" t="str">
            <v xml:space="preserve">Серия  Номер ,Выдан 00.01.1900 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</row>
        <row r="115">
          <cell r="A115">
            <v>0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 t="str">
            <v>Серия</v>
          </cell>
          <cell r="I115">
            <v>0</v>
          </cell>
          <cell r="J115" t="str">
            <v>Номер</v>
          </cell>
          <cell r="K115">
            <v>0</v>
          </cell>
          <cell r="L115" t="str">
            <v>Выдан</v>
          </cell>
          <cell r="M115">
            <v>0</v>
          </cell>
          <cell r="N115">
            <v>0</v>
          </cell>
          <cell r="O115">
            <v>0</v>
          </cell>
          <cell r="P115" t="str">
            <v xml:space="preserve">Серия  Номер ,Выдан 00.01.1900 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</row>
        <row r="116">
          <cell r="A116">
            <v>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 t="str">
            <v>Серия</v>
          </cell>
          <cell r="I116">
            <v>0</v>
          </cell>
          <cell r="J116" t="str">
            <v>Номер</v>
          </cell>
          <cell r="K116">
            <v>0</v>
          </cell>
          <cell r="L116" t="str">
            <v>Выдан</v>
          </cell>
          <cell r="M116">
            <v>0</v>
          </cell>
          <cell r="N116">
            <v>0</v>
          </cell>
          <cell r="O116">
            <v>0</v>
          </cell>
          <cell r="P116" t="str">
            <v xml:space="preserve">Серия  Номер ,Выдан 00.01.1900 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</row>
        <row r="117">
          <cell r="A117">
            <v>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 t="str">
            <v>Номер</v>
          </cell>
          <cell r="K117">
            <v>0</v>
          </cell>
          <cell r="L117" t="str">
            <v>Выдан</v>
          </cell>
          <cell r="M117">
            <v>0</v>
          </cell>
          <cell r="N117">
            <v>0</v>
          </cell>
          <cell r="O117">
            <v>0</v>
          </cell>
          <cell r="P117" t="str">
            <v xml:space="preserve">  Номер ,Выдан 00.01.1900 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</row>
        <row r="118">
          <cell r="A118">
            <v>0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 t="str">
            <v>Выдан</v>
          </cell>
          <cell r="M118">
            <v>0</v>
          </cell>
          <cell r="N118">
            <v>0</v>
          </cell>
          <cell r="O118">
            <v>0</v>
          </cell>
          <cell r="P118" t="str">
            <v xml:space="preserve">   ,Выдан 00.01.1900 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</row>
        <row r="119">
          <cell r="A119">
            <v>0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 t="str">
            <v>Выдан</v>
          </cell>
          <cell r="M119">
            <v>0</v>
          </cell>
          <cell r="N119">
            <v>0</v>
          </cell>
          <cell r="O119">
            <v>0</v>
          </cell>
          <cell r="P119" t="str">
            <v xml:space="preserve">   ,Выдан 00.01.1900 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</row>
        <row r="120">
          <cell r="A120">
            <v>0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 t="str">
            <v>Выдан</v>
          </cell>
          <cell r="M120">
            <v>0</v>
          </cell>
          <cell r="N120">
            <v>0</v>
          </cell>
          <cell r="O120">
            <v>0</v>
          </cell>
          <cell r="P120" t="str">
            <v xml:space="preserve">   ,Выдан 00.01.1900 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</row>
        <row r="121">
          <cell r="A121">
            <v>0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 t="str">
            <v xml:space="preserve">   , 00.01.1900 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</row>
        <row r="122">
          <cell r="A122">
            <v>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</row>
        <row r="123">
          <cell r="A123">
            <v>0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</row>
        <row r="124">
          <cell r="A124">
            <v>0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46"/>
  <sheetViews>
    <sheetView tabSelected="1" workbookViewId="0">
      <selection activeCell="C28" sqref="C28"/>
    </sheetView>
  </sheetViews>
  <sheetFormatPr defaultRowHeight="15" x14ac:dyDescent="0.25"/>
  <cols>
    <col min="1" max="1" width="9.140625" style="5"/>
    <col min="2" max="2" width="11.42578125" style="5" customWidth="1"/>
    <col min="3" max="4" width="9.140625" style="5"/>
    <col min="5" max="5" width="15.28515625" style="5" customWidth="1"/>
    <col min="6" max="7" width="9.140625" style="5"/>
    <col min="8" max="8" width="10.85546875" style="5" customWidth="1"/>
    <col min="9" max="13" width="9.140625" style="5"/>
    <col min="14" max="14" width="17.42578125" style="5" customWidth="1"/>
    <col min="15" max="16384" width="9.140625" style="5"/>
  </cols>
  <sheetData>
    <row r="1" spans="1:19" ht="15.75" x14ac:dyDescent="0.25">
      <c r="A1" s="4"/>
      <c r="B1" s="4"/>
      <c r="C1" s="4"/>
      <c r="D1" s="4"/>
      <c r="E1" s="18" t="s">
        <v>0</v>
      </c>
      <c r="F1" s="18"/>
      <c r="G1" s="18"/>
      <c r="H1" s="18"/>
    </row>
    <row r="2" spans="1:19" ht="15.75" x14ac:dyDescent="0.25">
      <c r="A2" s="4"/>
      <c r="B2" s="4"/>
      <c r="C2" s="4"/>
      <c r="D2" s="4"/>
      <c r="E2" s="18" t="s">
        <v>1</v>
      </c>
      <c r="F2" s="18"/>
      <c r="G2" s="18"/>
      <c r="H2" s="18"/>
    </row>
    <row r="3" spans="1:19" x14ac:dyDescent="0.25">
      <c r="A3" s="4"/>
      <c r="B3" s="4"/>
      <c r="C3" s="4"/>
      <c r="D3" s="4"/>
      <c r="E3" s="19" t="s">
        <v>2</v>
      </c>
      <c r="F3" s="19"/>
      <c r="G3" s="19"/>
      <c r="H3" s="19"/>
    </row>
    <row r="4" spans="1:19" x14ac:dyDescent="0.25">
      <c r="A4" s="4"/>
      <c r="B4" s="4"/>
      <c r="C4" s="4"/>
      <c r="D4" s="4"/>
      <c r="E4" s="3"/>
      <c r="F4" s="3"/>
      <c r="G4" s="3"/>
      <c r="H4" s="3"/>
    </row>
    <row r="5" spans="1:19" x14ac:dyDescent="0.25">
      <c r="A5" s="4"/>
      <c r="B5" s="4"/>
      <c r="C5" s="4"/>
      <c r="D5" s="4"/>
      <c r="E5" s="20" t="str">
        <f>IFERROR(VLOOKUP(E9,Данные!$A$1:$BE$200,2,0),"")</f>
        <v>Производитель работ</v>
      </c>
      <c r="F5" s="20"/>
      <c r="G5" s="20"/>
      <c r="H5" s="20"/>
    </row>
    <row r="6" spans="1:19" x14ac:dyDescent="0.25">
      <c r="A6" s="4"/>
      <c r="B6" s="4"/>
      <c r="C6" s="4"/>
      <c r="D6" s="4"/>
      <c r="E6" s="21"/>
      <c r="F6" s="21"/>
      <c r="G6" s="21"/>
      <c r="H6" s="21"/>
    </row>
    <row r="7" spans="1:19" x14ac:dyDescent="0.25">
      <c r="A7" s="4"/>
      <c r="B7" s="4"/>
      <c r="C7" s="4"/>
      <c r="D7" s="4"/>
      <c r="E7" s="19" t="s">
        <v>3</v>
      </c>
      <c r="F7" s="19"/>
      <c r="G7" s="19"/>
      <c r="H7" s="19"/>
      <c r="J7" s="6"/>
      <c r="K7" s="6"/>
      <c r="L7" s="6"/>
      <c r="M7" s="6"/>
      <c r="N7" s="6"/>
      <c r="O7" s="6"/>
      <c r="P7" s="6"/>
      <c r="Q7" s="6"/>
      <c r="R7" s="6"/>
      <c r="S7" s="6"/>
    </row>
    <row r="8" spans="1:19" x14ac:dyDescent="0.25">
      <c r="A8" s="4"/>
      <c r="B8" s="4"/>
      <c r="C8" s="4"/>
      <c r="D8" s="4"/>
      <c r="E8" s="7"/>
      <c r="F8" s="4"/>
      <c r="G8" s="4"/>
      <c r="H8" s="4"/>
      <c r="J8" s="6"/>
      <c r="K8" s="6"/>
      <c r="L8" s="6"/>
      <c r="M8" s="6"/>
      <c r="N8" s="6"/>
      <c r="O8" s="6"/>
      <c r="P8" s="6"/>
      <c r="Q8" s="6"/>
      <c r="R8" s="6"/>
      <c r="S8" s="6"/>
    </row>
    <row r="9" spans="1:19" ht="15.75" x14ac:dyDescent="0.25">
      <c r="A9" s="4"/>
      <c r="B9" s="4"/>
      <c r="C9" s="4"/>
      <c r="D9" s="4"/>
      <c r="E9" s="22" t="s">
        <v>21</v>
      </c>
      <c r="F9" s="22"/>
      <c r="G9" s="22"/>
      <c r="H9" s="22"/>
      <c r="J9" s="6"/>
      <c r="K9" s="6"/>
      <c r="L9" s="6"/>
      <c r="M9" s="6"/>
      <c r="N9" s="6"/>
      <c r="O9" s="6"/>
      <c r="P9" s="6"/>
      <c r="Q9" s="6"/>
      <c r="R9" s="6"/>
      <c r="S9" s="6"/>
    </row>
    <row r="10" spans="1:19" x14ac:dyDescent="0.25">
      <c r="A10" s="4"/>
      <c r="B10" s="4"/>
      <c r="C10" s="4"/>
      <c r="D10" s="4"/>
      <c r="E10" s="19" t="s">
        <v>4</v>
      </c>
      <c r="F10" s="19"/>
      <c r="G10" s="19"/>
      <c r="H10" s="19"/>
      <c r="J10" s="6"/>
      <c r="K10" s="6"/>
      <c r="L10" s="6"/>
      <c r="M10" s="6"/>
      <c r="N10" s="6"/>
      <c r="O10" s="6"/>
      <c r="P10" s="6"/>
      <c r="Q10" s="6"/>
      <c r="R10" s="6"/>
      <c r="S10" s="6"/>
    </row>
    <row r="11" spans="1:19" x14ac:dyDescent="0.25">
      <c r="A11" s="4"/>
      <c r="B11" s="4"/>
      <c r="C11" s="4"/>
      <c r="D11" s="4"/>
      <c r="E11" s="4"/>
      <c r="F11" s="4"/>
      <c r="G11" s="4"/>
      <c r="H11" s="4"/>
      <c r="J11" s="6"/>
      <c r="K11" s="6"/>
      <c r="L11" s="6"/>
      <c r="M11" s="6"/>
      <c r="N11" s="6"/>
      <c r="O11" s="6"/>
      <c r="P11" s="6"/>
      <c r="Q11" s="6"/>
      <c r="R11" s="6"/>
      <c r="S11" s="6"/>
    </row>
    <row r="12" spans="1:19" ht="15.75" thickBot="1" x14ac:dyDescent="0.3">
      <c r="A12" s="4"/>
      <c r="B12" s="4"/>
      <c r="C12" s="4"/>
      <c r="D12" s="4"/>
      <c r="E12" s="4"/>
      <c r="F12" s="4"/>
      <c r="G12" s="4"/>
      <c r="H12" s="4"/>
      <c r="J12" s="6"/>
      <c r="K12" s="6"/>
      <c r="L12" s="6"/>
      <c r="M12" s="6"/>
      <c r="N12" s="6"/>
      <c r="O12" s="6"/>
      <c r="P12" s="6"/>
      <c r="Q12" s="6"/>
      <c r="R12" s="6"/>
      <c r="S12" s="6"/>
    </row>
    <row r="13" spans="1:19" ht="18.75" thickBot="1" x14ac:dyDescent="0.3">
      <c r="A13" s="23" t="s">
        <v>5</v>
      </c>
      <c r="B13" s="23"/>
      <c r="C13" s="23"/>
      <c r="D13" s="8" t="s">
        <v>6</v>
      </c>
      <c r="E13" s="2">
        <f ca="1">TODAY()</f>
        <v>44714</v>
      </c>
      <c r="F13" s="9" t="s">
        <v>7</v>
      </c>
      <c r="G13" s="24" t="str">
        <f ca="1">CONCATENATE(TEXT(E13,"дд-ММ-гггг"),"(",N30,")")</f>
        <v>02-06-2022(АРМ)</v>
      </c>
      <c r="H13" s="25"/>
      <c r="J13" s="6"/>
      <c r="K13" s="6"/>
      <c r="L13" s="6"/>
      <c r="M13" s="6"/>
      <c r="N13" s="6"/>
      <c r="O13" s="6"/>
      <c r="P13" s="6"/>
      <c r="Q13" s="6"/>
      <c r="R13" s="6"/>
      <c r="S13" s="6"/>
    </row>
    <row r="14" spans="1:19" ht="18" x14ac:dyDescent="0.25">
      <c r="A14" s="10"/>
      <c r="B14" s="10"/>
      <c r="C14" s="10"/>
      <c r="D14" s="10"/>
      <c r="E14" s="10"/>
      <c r="F14" s="10"/>
      <c r="G14" s="10"/>
      <c r="H14" s="10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A15" s="26" t="s">
        <v>8</v>
      </c>
      <c r="B15" s="26"/>
      <c r="C15" s="26"/>
      <c r="D15" s="26"/>
      <c r="E15" s="26"/>
      <c r="F15" s="26"/>
      <c r="G15" s="26"/>
      <c r="H15" s="26"/>
      <c r="J15" s="6"/>
      <c r="K15" s="6"/>
      <c r="L15" s="6"/>
      <c r="M15" s="6"/>
      <c r="N15" s="6"/>
      <c r="O15" s="6"/>
      <c r="P15" s="6"/>
      <c r="Q15" s="6"/>
      <c r="R15" s="6"/>
      <c r="S15" s="6"/>
    </row>
    <row r="16" spans="1:19" x14ac:dyDescent="0.25">
      <c r="A16" s="11" t="s">
        <v>9</v>
      </c>
      <c r="B16" s="12">
        <v>2000</v>
      </c>
      <c r="C16" s="26" t="s">
        <v>10</v>
      </c>
      <c r="D16" s="26"/>
      <c r="E16" s="1">
        <f ca="1">EDATE(E13,1)</f>
        <v>44744</v>
      </c>
      <c r="F16" s="13"/>
      <c r="G16" s="4"/>
      <c r="H16" s="4"/>
      <c r="J16" s="6"/>
      <c r="K16" s="6"/>
      <c r="L16" s="6"/>
      <c r="M16" s="6"/>
      <c r="N16" s="6"/>
      <c r="O16" s="6"/>
      <c r="P16" s="6"/>
      <c r="Q16" s="6"/>
      <c r="R16" s="6"/>
      <c r="S16" s="6"/>
    </row>
    <row r="17" spans="1:19" x14ac:dyDescent="0.25">
      <c r="A17" s="11"/>
      <c r="B17" s="11"/>
      <c r="C17" s="11"/>
      <c r="D17" s="11"/>
      <c r="E17" s="11"/>
      <c r="F17" s="11"/>
      <c r="G17" s="4"/>
      <c r="H17" s="4"/>
      <c r="J17" s="6"/>
      <c r="K17" s="6"/>
      <c r="L17" s="6"/>
      <c r="M17" s="6"/>
      <c r="N17" s="6"/>
      <c r="O17" s="6"/>
      <c r="P17" s="6"/>
      <c r="Q17" s="6"/>
      <c r="R17" s="6"/>
      <c r="S17" s="6"/>
    </row>
    <row r="18" spans="1:19" x14ac:dyDescent="0.25">
      <c r="A18" s="16" t="s">
        <v>11</v>
      </c>
      <c r="B18" s="16"/>
      <c r="C18" s="16"/>
      <c r="D18" s="17" t="str">
        <f>IFERROR(VLOOKUP(E9,Данные!$A$1:$BE$200,55,0),"")</f>
        <v>40817810340010519382</v>
      </c>
      <c r="E18" s="17"/>
      <c r="F18" s="17"/>
      <c r="G18" s="17"/>
      <c r="H18" s="17"/>
      <c r="J18" s="6"/>
      <c r="K18" s="6"/>
      <c r="L18" s="6"/>
      <c r="M18" s="6"/>
      <c r="N18" s="6"/>
      <c r="O18" s="6"/>
      <c r="P18" s="6"/>
      <c r="Q18" s="6"/>
      <c r="R18" s="6"/>
      <c r="S18" s="6"/>
    </row>
    <row r="19" spans="1:19" x14ac:dyDescent="0.25">
      <c r="A19" s="16" t="s">
        <v>12</v>
      </c>
      <c r="B19" s="16"/>
      <c r="C19" s="16"/>
      <c r="D19" s="17" t="str">
        <f>IFERROR(VLOOKUP(E9,Данные!$A$1:$BE$200,56,0),"")</f>
        <v>ПАО СБЕРБАНК</v>
      </c>
      <c r="E19" s="17"/>
      <c r="F19" s="17"/>
      <c r="G19" s="17"/>
      <c r="H19" s="17"/>
      <c r="J19" s="6"/>
      <c r="K19" s="6"/>
      <c r="L19" s="6"/>
      <c r="M19" s="6"/>
      <c r="N19" s="6"/>
      <c r="O19" s="6"/>
      <c r="P19" s="6"/>
      <c r="Q19" s="6"/>
      <c r="R19" s="6"/>
      <c r="S19" s="6"/>
    </row>
    <row r="20" spans="1:19" x14ac:dyDescent="0.25">
      <c r="A20" s="16" t="s">
        <v>13</v>
      </c>
      <c r="B20" s="16"/>
      <c r="C20" s="16"/>
      <c r="D20" s="17" t="str">
        <f>IFERROR(VLOOKUP(E9,Данные!$A$1:$BE$200,57,0),"")</f>
        <v>044525225</v>
      </c>
      <c r="E20" s="17"/>
      <c r="F20" s="17"/>
      <c r="G20" s="17"/>
      <c r="H20" s="17"/>
      <c r="J20" s="6"/>
      <c r="K20" s="6"/>
      <c r="L20" s="6"/>
      <c r="M20" s="6"/>
      <c r="N20" s="6"/>
      <c r="O20" s="6"/>
      <c r="P20" s="6"/>
      <c r="Q20" s="6"/>
      <c r="R20" s="6"/>
      <c r="S20" s="6"/>
    </row>
    <row r="21" spans="1:19" x14ac:dyDescent="0.25">
      <c r="A21" s="11"/>
      <c r="B21" s="11"/>
      <c r="C21" s="11"/>
      <c r="D21" s="11"/>
      <c r="E21" s="11"/>
      <c r="F21" s="11"/>
      <c r="G21" s="4"/>
      <c r="H21" s="4"/>
      <c r="J21" s="6"/>
      <c r="K21" s="6"/>
      <c r="L21" s="6"/>
      <c r="M21" s="14"/>
      <c r="N21" s="14"/>
      <c r="O21" s="14"/>
      <c r="P21" s="6"/>
      <c r="Q21" s="6"/>
      <c r="R21" s="6"/>
      <c r="S21" s="6"/>
    </row>
    <row r="22" spans="1:19" x14ac:dyDescent="0.25">
      <c r="A22" s="16" t="s">
        <v>14</v>
      </c>
      <c r="B22" s="16"/>
      <c r="C22" s="16"/>
      <c r="D22" s="16"/>
      <c r="E22" s="16"/>
      <c r="F22" s="27">
        <f ca="1">EDATE(E13,1)</f>
        <v>44744</v>
      </c>
      <c r="G22" s="28"/>
      <c r="H22" s="28"/>
      <c r="J22" s="6"/>
      <c r="K22" s="6"/>
      <c r="L22" s="6"/>
      <c r="M22" s="14"/>
      <c r="N22" s="14"/>
      <c r="O22" s="14"/>
      <c r="P22" s="6"/>
      <c r="Q22" s="6"/>
      <c r="R22" s="6"/>
      <c r="S22" s="6"/>
    </row>
    <row r="23" spans="1:19" x14ac:dyDescent="0.25">
      <c r="A23" s="11"/>
      <c r="B23" s="11"/>
      <c r="C23" s="11"/>
      <c r="D23" s="11"/>
      <c r="E23" s="11"/>
      <c r="F23" s="11"/>
      <c r="G23" s="4"/>
      <c r="H23" s="4"/>
      <c r="J23" s="6"/>
      <c r="K23" s="6"/>
      <c r="L23" s="6"/>
      <c r="M23" s="14"/>
      <c r="N23" s="14" t="str">
        <f>LEFT(E9,SEARCH(" *",E9)-1)&amp;" "&amp;MID(E9,SEARCH(" *",E9)+1,1)
&amp;"."&amp;MID(E9,SEARCH(" *",E9,SEARCH(" *",E9)+1)+1,1)&amp;"."</f>
        <v>Аммаев Р.М.</v>
      </c>
      <c r="O23" s="14"/>
      <c r="P23" s="6"/>
      <c r="Q23" s="6"/>
      <c r="R23" s="6"/>
      <c r="S23" s="6"/>
    </row>
    <row r="24" spans="1:19" x14ac:dyDescent="0.25">
      <c r="A24" s="16" t="s">
        <v>15</v>
      </c>
      <c r="B24" s="16"/>
      <c r="C24" s="30" t="s">
        <v>20</v>
      </c>
      <c r="D24" s="30"/>
      <c r="E24" s="30"/>
      <c r="F24" s="30"/>
      <c r="G24" s="30"/>
      <c r="H24" s="30"/>
      <c r="J24" s="6"/>
      <c r="K24" s="6"/>
      <c r="L24" s="6"/>
      <c r="M24" s="14"/>
      <c r="N24" s="14" t="str">
        <f>CONCATENATE(LEFT(E9,FIND(" ",E9,1)-1))</f>
        <v>Аммаев</v>
      </c>
      <c r="O24" s="14"/>
      <c r="P24" s="6"/>
      <c r="Q24" s="6"/>
      <c r="R24" s="6"/>
      <c r="S24" s="6"/>
    </row>
    <row r="25" spans="1:19" x14ac:dyDescent="0.25">
      <c r="A25" s="11"/>
      <c r="B25" s="11"/>
      <c r="C25" s="34" t="s">
        <v>22</v>
      </c>
      <c r="D25" s="35"/>
      <c r="E25" s="35"/>
      <c r="F25" s="35"/>
      <c r="G25" s="35"/>
      <c r="H25" s="36"/>
      <c r="J25" s="6"/>
      <c r="K25" s="6"/>
      <c r="L25" s="6"/>
      <c r="M25" s="14"/>
      <c r="N25" s="14" t="str">
        <f>MID(E9,FIND(" ",E9,1)+1,FIND(" ",E9,FIND(" ",E9,1)+1)-FIND(" ",E9,1)-1)</f>
        <v>Роман</v>
      </c>
      <c r="O25" s="14"/>
      <c r="P25" s="6"/>
      <c r="Q25" s="6"/>
      <c r="R25" s="6"/>
      <c r="S25" s="6"/>
    </row>
    <row r="26" spans="1:19" x14ac:dyDescent="0.25">
      <c r="A26" s="11"/>
      <c r="B26" s="11"/>
      <c r="C26" s="37"/>
      <c r="D26" s="38"/>
      <c r="E26" s="38"/>
      <c r="F26" s="38"/>
      <c r="G26" s="38"/>
      <c r="H26" s="39"/>
      <c r="J26" s="6"/>
      <c r="K26" s="6"/>
      <c r="L26" s="6"/>
      <c r="M26" s="14"/>
      <c r="N26" s="14" t="str">
        <f>RIGHT(E9,LEN(E9)-FIND(" ",E9,FIND(" ",E9,1)+1))</f>
        <v>Магомедович  (сроч.)</v>
      </c>
      <c r="O26" s="14"/>
      <c r="P26" s="6"/>
      <c r="Q26" s="6"/>
      <c r="R26" s="6"/>
      <c r="S26" s="6"/>
    </row>
    <row r="27" spans="1:19" x14ac:dyDescent="0.25">
      <c r="A27" s="11"/>
      <c r="B27" s="11"/>
      <c r="C27" s="40"/>
      <c r="D27" s="41"/>
      <c r="E27" s="41"/>
      <c r="F27" s="41"/>
      <c r="G27" s="41"/>
      <c r="H27" s="42"/>
      <c r="J27" s="6"/>
      <c r="K27" s="6"/>
      <c r="L27" s="6"/>
      <c r="M27" s="14"/>
      <c r="N27" s="14" t="str">
        <f>LEFT(N24,1)</f>
        <v>А</v>
      </c>
      <c r="O27" s="14"/>
      <c r="P27" s="6"/>
      <c r="Q27" s="6"/>
      <c r="R27" s="6"/>
      <c r="S27" s="6"/>
    </row>
    <row r="28" spans="1:19" x14ac:dyDescent="0.25">
      <c r="A28" s="11"/>
      <c r="B28" s="11"/>
      <c r="C28" s="11"/>
      <c r="D28" s="11"/>
      <c r="E28" s="11"/>
      <c r="F28" s="11"/>
      <c r="G28" s="4"/>
      <c r="H28" s="4"/>
      <c r="J28" s="6"/>
      <c r="K28" s="6"/>
      <c r="L28" s="6"/>
      <c r="M28" s="14"/>
      <c r="N28" s="14" t="str">
        <f>LEFT(N25,1)</f>
        <v>Р</v>
      </c>
      <c r="O28" s="14"/>
      <c r="P28" s="6"/>
      <c r="Q28" s="6"/>
      <c r="R28" s="6"/>
      <c r="S28" s="6"/>
    </row>
    <row r="29" spans="1:19" x14ac:dyDescent="0.25">
      <c r="A29" s="11"/>
      <c r="B29" s="11"/>
      <c r="C29" s="11"/>
      <c r="D29" s="11"/>
      <c r="E29" s="11"/>
      <c r="F29" s="11"/>
      <c r="G29" s="4"/>
      <c r="H29" s="4"/>
      <c r="J29" s="6"/>
      <c r="K29" s="6"/>
      <c r="L29" s="6"/>
      <c r="M29" s="14"/>
      <c r="N29" s="14" t="str">
        <f>LEFT(N26,1)</f>
        <v>М</v>
      </c>
      <c r="O29" s="14"/>
      <c r="P29" s="6"/>
      <c r="Q29" s="6"/>
      <c r="R29" s="6"/>
      <c r="S29" s="6"/>
    </row>
    <row r="30" spans="1:19" x14ac:dyDescent="0.25">
      <c r="A30" s="11"/>
      <c r="B30" s="11"/>
      <c r="C30" s="11"/>
      <c r="D30" s="11"/>
      <c r="E30" s="11"/>
      <c r="F30" s="11"/>
      <c r="G30" s="4"/>
      <c r="H30" s="4"/>
      <c r="J30" s="6"/>
      <c r="K30" s="6"/>
      <c r="L30" s="6"/>
      <c r="M30" s="14"/>
      <c r="N30" s="14" t="str">
        <f>CONCATENATE(N27,N28,N29,)</f>
        <v>АРМ</v>
      </c>
      <c r="O30" s="14"/>
      <c r="P30" s="6"/>
      <c r="Q30" s="6"/>
      <c r="R30" s="6"/>
      <c r="S30" s="6"/>
    </row>
    <row r="31" spans="1:19" x14ac:dyDescent="0.25">
      <c r="A31" s="11"/>
      <c r="B31" s="11"/>
      <c r="C31" s="11"/>
      <c r="D31" s="11"/>
      <c r="E31" s="11"/>
      <c r="F31" s="11"/>
      <c r="G31" s="4"/>
      <c r="H31" s="4"/>
      <c r="J31" s="6"/>
      <c r="K31" s="6"/>
      <c r="L31" s="6"/>
      <c r="M31" s="14"/>
      <c r="N31" s="14"/>
      <c r="O31" s="14"/>
      <c r="P31" s="6"/>
      <c r="Q31" s="6"/>
      <c r="R31" s="6"/>
      <c r="S31" s="6"/>
    </row>
    <row r="32" spans="1:19" x14ac:dyDescent="0.25">
      <c r="A32" s="11"/>
      <c r="B32" s="11"/>
      <c r="C32" s="11"/>
      <c r="D32" s="11"/>
      <c r="E32" s="11"/>
      <c r="F32" s="11"/>
      <c r="G32" s="4"/>
      <c r="H32" s="4"/>
      <c r="J32" s="6"/>
      <c r="K32" s="6"/>
      <c r="L32" s="6"/>
      <c r="M32" s="14"/>
      <c r="N32" s="14"/>
      <c r="O32" s="14"/>
      <c r="P32" s="6"/>
      <c r="Q32" s="6"/>
      <c r="R32" s="6"/>
      <c r="S32" s="6"/>
    </row>
    <row r="33" spans="1:19" x14ac:dyDescent="0.25">
      <c r="A33" s="11"/>
      <c r="B33" s="11"/>
      <c r="C33" s="11"/>
      <c r="D33" s="11"/>
      <c r="E33" s="11"/>
      <c r="F33" s="11"/>
      <c r="G33" s="4"/>
      <c r="H33" s="4"/>
      <c r="J33" s="6"/>
      <c r="K33" s="6"/>
      <c r="L33" s="6"/>
      <c r="M33" s="6"/>
      <c r="N33" s="6"/>
      <c r="O33" s="6"/>
      <c r="P33" s="6"/>
      <c r="Q33" s="6"/>
      <c r="R33" s="6"/>
      <c r="S33" s="6"/>
    </row>
    <row r="34" spans="1:19" x14ac:dyDescent="0.25">
      <c r="A34" s="11"/>
      <c r="B34" s="11"/>
      <c r="C34" s="11"/>
      <c r="D34" s="11"/>
      <c r="E34" s="11"/>
      <c r="F34" s="11"/>
      <c r="G34" s="4"/>
      <c r="H34" s="4"/>
      <c r="J34" s="6"/>
      <c r="K34" s="6"/>
      <c r="L34" s="6"/>
      <c r="M34" s="6"/>
      <c r="N34" s="6"/>
      <c r="O34" s="6"/>
      <c r="P34" s="6"/>
      <c r="Q34" s="6"/>
      <c r="R34" s="6"/>
      <c r="S34" s="6"/>
    </row>
    <row r="35" spans="1:19" x14ac:dyDescent="0.25">
      <c r="A35" s="11"/>
      <c r="B35" s="11"/>
      <c r="C35" s="11"/>
      <c r="D35" s="11"/>
      <c r="E35" s="11"/>
      <c r="F35" s="11"/>
      <c r="G35" s="4"/>
      <c r="H35" s="4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1:19" x14ac:dyDescent="0.25">
      <c r="A36" s="11"/>
      <c r="B36" s="11"/>
      <c r="C36" s="11"/>
      <c r="D36" s="11"/>
      <c r="E36" s="11"/>
      <c r="F36" s="11"/>
      <c r="G36" s="4"/>
      <c r="H36" s="4"/>
      <c r="J36" s="6"/>
      <c r="K36" s="6"/>
      <c r="L36" s="6"/>
      <c r="M36" s="6"/>
      <c r="N36" s="6"/>
      <c r="O36" s="6"/>
      <c r="P36" s="6"/>
      <c r="Q36" s="6"/>
      <c r="R36" s="6"/>
      <c r="S36" s="6"/>
    </row>
    <row r="37" spans="1:19" x14ac:dyDescent="0.25">
      <c r="A37" s="11"/>
      <c r="B37" s="11"/>
      <c r="C37" s="11"/>
      <c r="D37" s="11"/>
      <c r="E37" s="11"/>
      <c r="F37" s="11"/>
      <c r="G37" s="4"/>
      <c r="H37" s="4"/>
      <c r="J37" s="6"/>
      <c r="K37" s="6"/>
      <c r="L37" s="6"/>
      <c r="M37" s="6"/>
      <c r="N37" s="6"/>
      <c r="O37" s="6"/>
      <c r="P37" s="6"/>
      <c r="Q37" s="6"/>
      <c r="R37" s="6"/>
      <c r="S37" s="6"/>
    </row>
    <row r="38" spans="1:19" x14ac:dyDescent="0.25">
      <c r="A38" s="11"/>
      <c r="B38" s="11"/>
      <c r="C38" s="11"/>
      <c r="D38" s="11"/>
      <c r="E38" s="11"/>
      <c r="F38" s="11"/>
      <c r="G38" s="4"/>
      <c r="H38" s="4"/>
      <c r="J38" s="6"/>
      <c r="K38" s="6"/>
      <c r="L38" s="6"/>
      <c r="M38" s="6"/>
      <c r="N38" s="6"/>
      <c r="O38" s="6"/>
      <c r="P38" s="6"/>
      <c r="Q38" s="6"/>
      <c r="R38" s="6"/>
      <c r="S38" s="6"/>
    </row>
    <row r="39" spans="1:19" x14ac:dyDescent="0.25">
      <c r="A39" s="31">
        <f ca="1">TODAY()</f>
        <v>44714</v>
      </c>
      <c r="B39" s="31"/>
      <c r="C39" s="32"/>
      <c r="D39" s="32"/>
      <c r="E39" s="11"/>
      <c r="F39" s="32" t="str">
        <f>N23</f>
        <v>Аммаев Р.М.</v>
      </c>
      <c r="G39" s="32"/>
      <c r="H39" s="32"/>
    </row>
    <row r="40" spans="1:19" x14ac:dyDescent="0.25">
      <c r="A40" s="11"/>
      <c r="B40" s="11"/>
      <c r="C40" s="26" t="s">
        <v>16</v>
      </c>
      <c r="D40" s="26"/>
      <c r="E40" s="11"/>
      <c r="F40" s="26" t="s">
        <v>17</v>
      </c>
      <c r="G40" s="26"/>
      <c r="H40" s="26"/>
    </row>
    <row r="41" spans="1:19" x14ac:dyDescent="0.25">
      <c r="A41" s="11"/>
      <c r="B41" s="11"/>
      <c r="C41" s="11"/>
      <c r="D41" s="11"/>
      <c r="E41" s="11"/>
      <c r="F41" s="11"/>
      <c r="G41" s="4"/>
      <c r="H41" s="4"/>
    </row>
    <row r="42" spans="1:19" x14ac:dyDescent="0.25">
      <c r="A42" s="15" t="s">
        <v>18</v>
      </c>
      <c r="B42" s="11"/>
      <c r="C42" s="11"/>
      <c r="D42" s="11"/>
      <c r="E42" s="11"/>
      <c r="F42" s="11"/>
      <c r="G42" s="4"/>
      <c r="H42" s="4"/>
    </row>
    <row r="43" spans="1:19" x14ac:dyDescent="0.25">
      <c r="A43" s="11"/>
      <c r="B43" s="11"/>
      <c r="C43" s="11"/>
      <c r="D43" s="11"/>
      <c r="E43" s="11"/>
      <c r="F43" s="11"/>
      <c r="G43" s="4"/>
      <c r="H43" s="4"/>
    </row>
    <row r="44" spans="1:19" x14ac:dyDescent="0.25">
      <c r="A44" s="31">
        <f ca="1">TODAY()</f>
        <v>44714</v>
      </c>
      <c r="B44" s="31"/>
      <c r="C44" s="33"/>
      <c r="D44" s="33"/>
      <c r="E44" s="4"/>
      <c r="F44" s="32" t="s">
        <v>19</v>
      </c>
      <c r="G44" s="32"/>
      <c r="H44" s="32"/>
    </row>
    <row r="45" spans="1:19" x14ac:dyDescent="0.25">
      <c r="A45" s="11"/>
      <c r="B45" s="11"/>
      <c r="C45" s="26" t="s">
        <v>16</v>
      </c>
      <c r="D45" s="26"/>
      <c r="E45" s="4"/>
      <c r="F45" s="29" t="s">
        <v>17</v>
      </c>
      <c r="G45" s="29"/>
      <c r="H45" s="29"/>
    </row>
    <row r="46" spans="1:19" x14ac:dyDescent="0.25">
      <c r="A46" s="11"/>
      <c r="B46" s="11"/>
      <c r="C46" s="11"/>
      <c r="D46" s="11"/>
      <c r="E46" s="11"/>
      <c r="F46" s="11"/>
      <c r="G46" s="4"/>
      <c r="H46" s="4"/>
    </row>
  </sheetData>
  <sheetProtection formatCells="0" formatColumns="0" formatRows="0" insertColumns="0" insertRows="0" insertHyperlinks="0" deleteColumns="0" deleteRows="0" sort="0" autoFilter="0" pivotTables="0"/>
  <protectedRanges>
    <protectedRange sqref="C25:H25" name="Диапазон7"/>
    <protectedRange sqref="F22" name="Диапазон6_1"/>
    <protectedRange sqref="E9:H9" name="Диапазон1_1"/>
    <protectedRange sqref="B16" name="Диапазон2_1"/>
    <protectedRange sqref="E16" name="Диапазон3_1"/>
    <protectedRange sqref="F22" name="Диапазон4_1"/>
    <protectedRange sqref="C24" name="Диапазон5_1"/>
  </protectedRanges>
  <mergeCells count="32">
    <mergeCell ref="C45:D45"/>
    <mergeCell ref="F45:H45"/>
    <mergeCell ref="A24:B24"/>
    <mergeCell ref="C24:H24"/>
    <mergeCell ref="A39:B39"/>
    <mergeCell ref="C39:D39"/>
    <mergeCell ref="F39:H39"/>
    <mergeCell ref="C40:D40"/>
    <mergeCell ref="F40:H40"/>
    <mergeCell ref="A44:B44"/>
    <mergeCell ref="C44:D44"/>
    <mergeCell ref="F44:H44"/>
    <mergeCell ref="C25:H27"/>
    <mergeCell ref="A19:C19"/>
    <mergeCell ref="D19:H19"/>
    <mergeCell ref="A20:C20"/>
    <mergeCell ref="D20:H20"/>
    <mergeCell ref="A22:E22"/>
    <mergeCell ref="F22:H22"/>
    <mergeCell ref="A18:C18"/>
    <mergeCell ref="D18:H18"/>
    <mergeCell ref="E1:H1"/>
    <mergeCell ref="E2:H2"/>
    <mergeCell ref="E3:H3"/>
    <mergeCell ref="E5:H6"/>
    <mergeCell ref="E7:H7"/>
    <mergeCell ref="E9:H9"/>
    <mergeCell ref="E10:H10"/>
    <mergeCell ref="A13:C13"/>
    <mergeCell ref="G13:H13"/>
    <mergeCell ref="A15:H15"/>
    <mergeCell ref="C16:D1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E129"/>
  <sheetViews>
    <sheetView topLeftCell="A98" workbookViewId="0">
      <selection activeCell="A110" sqref="A110:XFD110"/>
    </sheetView>
  </sheetViews>
  <sheetFormatPr defaultRowHeight="15" x14ac:dyDescent="0.25"/>
  <cols>
    <col min="1" max="1" width="46.42578125" customWidth="1"/>
    <col min="16" max="16" width="147.28515625" bestFit="1" customWidth="1"/>
    <col min="53" max="53" width="19.42578125" bestFit="1" customWidth="1"/>
    <col min="57" max="57" width="9.85546875" customWidth="1"/>
  </cols>
  <sheetData>
    <row r="1" spans="1:57" x14ac:dyDescent="0.25">
      <c r="A1" t="str">
        <f>[1]TDSheet!A2</f>
        <v>Абдуллаев Рустам Магомедович</v>
      </c>
      <c r="B1" t="str">
        <f>[1]TDSheet!B2</f>
        <v>Мастер</v>
      </c>
      <c r="C1" t="str">
        <f>TEXT([1]TDSheet!C2,"ДД.ММ.ГГГГ")</f>
        <v>17.06.1994</v>
      </c>
      <c r="D1" t="str">
        <f>[1]TDSheet!D2</f>
        <v>РОССИЯ</v>
      </c>
      <c r="E1" t="str">
        <f>[1]TDSheet!E2</f>
        <v>051102250606</v>
      </c>
      <c r="F1" t="str">
        <f>[1]TDSheet!F2</f>
        <v>171-090-985 64</v>
      </c>
      <c r="G1" t="str">
        <f>[1]TDSheet!G2</f>
        <v>Паспорт гражданина РФ</v>
      </c>
      <c r="H1" t="str">
        <f>[1]TDSheet!H2</f>
        <v>Серия</v>
      </c>
      <c r="I1" t="str">
        <f>[1]TDSheet!I2</f>
        <v>82 14</v>
      </c>
      <c r="J1" t="str">
        <f>[1]TDSheet!J2</f>
        <v>Номер</v>
      </c>
      <c r="K1">
        <f>[1]TDSheet!K2</f>
        <v>545326</v>
      </c>
      <c r="L1" t="str">
        <f>[1]TDSheet!L2</f>
        <v>Выдан</v>
      </c>
      <c r="M1" t="str">
        <f>TEXT([1]TDSheet!M2,"ДД.ММ.ГГГГ")</f>
        <v>16.09.2014</v>
      </c>
      <c r="N1" t="str">
        <f>[1]TDSheet!N2</f>
        <v>ТП УФМС России по Респ. Дагестан в Дахадаевском районе</v>
      </c>
      <c r="O1" t="str">
        <f>[1]TDSheet!O2</f>
        <v>050-023</v>
      </c>
      <c r="P1" t="str">
        <f>[1]TDSheet!P2</f>
        <v>Серия 82 14 Номер 545326,Выдан 16.09.2014 ТП УФМС России по Респ. Дагестан в Дахадаевском районе</v>
      </c>
      <c r="Q1" t="str">
        <f>[1]TDSheet!Q2</f>
        <v>368581, Дагестан Респ, Дахадаевский р-н, Ираки с</v>
      </c>
      <c r="R1" t="str">
        <f>[1]TDSheet!R2</f>
        <v>368581, Дагестан Респ, Дахадаевский р-н, Ираки с</v>
      </c>
      <c r="S1">
        <f>[1]TDSheet!S2</f>
        <v>0</v>
      </c>
      <c r="T1" t="str">
        <f>[1]TDSheet!T2</f>
        <v>0000000162</v>
      </c>
      <c r="U1">
        <f>[1]TDSheet!U2</f>
        <v>176</v>
      </c>
      <c r="V1" t="str">
        <f>[1]TDSheet!V2</f>
        <v>56-58</v>
      </c>
      <c r="W1">
        <f>[1]TDSheet!W2</f>
        <v>43</v>
      </c>
      <c r="X1">
        <f>[1]TDSheet!X2</f>
        <v>0</v>
      </c>
      <c r="Y1">
        <f>[1]TDSheet!Y2</f>
        <v>0</v>
      </c>
      <c r="Z1">
        <f>[1]TDSheet!Z2</f>
        <v>43313</v>
      </c>
      <c r="AA1" t="str">
        <f>[1]TDSheet!AA2</f>
        <v>01-08/18-Сем</v>
      </c>
      <c r="AB1">
        <f>[1]TDSheet!AB2</f>
        <v>0</v>
      </c>
      <c r="AC1">
        <f>[1]TDSheet!AC2</f>
        <v>1</v>
      </c>
      <c r="AD1">
        <f>[1]TDSheet!AD2</f>
        <v>44518</v>
      </c>
      <c r="AE1">
        <f>[1]TDSheet!AE2</f>
        <v>1</v>
      </c>
      <c r="AF1">
        <f>[1]TDSheet!AF2</f>
        <v>44431</v>
      </c>
      <c r="AG1">
        <f>[1]TDSheet!AG2</f>
        <v>1</v>
      </c>
      <c r="AH1">
        <f>[1]TDSheet!AH2</f>
        <v>44539</v>
      </c>
      <c r="AI1" t="str">
        <f>[1]TDSheet!AI2</f>
        <v>2 группа</v>
      </c>
      <c r="AJ1">
        <f>[1]TDSheet!AJ2</f>
        <v>1</v>
      </c>
      <c r="AK1">
        <f>[1]TDSheet!AK2</f>
        <v>44529</v>
      </c>
      <c r="AL1" t="str">
        <f>[1]TDSheet!AL2</f>
        <v>не надо</v>
      </c>
      <c r="AM1" t="str">
        <f>[1]TDSheet!AM2</f>
        <v>не надо</v>
      </c>
      <c r="AN1">
        <f>[1]TDSheet!AN2</f>
        <v>44531</v>
      </c>
      <c r="AO1" t="str">
        <f>[1]TDSheet!AO2</f>
        <v>не надо</v>
      </c>
      <c r="AP1" t="str">
        <f>[1]TDSheet!AP2</f>
        <v>не надо</v>
      </c>
      <c r="AQ1" t="str">
        <f>[1]TDSheet!AQ2</f>
        <v>не надо</v>
      </c>
      <c r="AR1" t="str">
        <f>[1]TDSheet!AR2</f>
        <v>не надо</v>
      </c>
      <c r="AS1" t="str">
        <f>[1]TDSheet!AS2</f>
        <v>не надо</v>
      </c>
      <c r="AT1">
        <f>[1]TDSheet!AT2</f>
        <v>1</v>
      </c>
      <c r="AU1" t="str">
        <f>[1]TDSheet!AU2</f>
        <v>Стропальщик 5 разряда, 10.11.2021, Кровельщик 5 разряда, протокол от 23.09.2019 №342 ЭК</v>
      </c>
      <c r="AV1">
        <f>[1]TDSheet!AV2</f>
        <v>44525</v>
      </c>
      <c r="AW1" t="str">
        <f>[1]TDSheet!AW2</f>
        <v>Кровельщик 5 разряда, протокол от 23.09.2019 №342 ЭК</v>
      </c>
      <c r="AX1">
        <f>[1]TDSheet!AX2</f>
        <v>44241</v>
      </c>
      <c r="AY1">
        <f>[1]TDSheet!AY2</f>
        <v>0</v>
      </c>
      <c r="AZ1">
        <f>[1]TDSheet!AZ2</f>
        <v>0</v>
      </c>
      <c r="BA1" t="str">
        <f>[1]TDSheet!BA2</f>
        <v>8-988-752-43-88</v>
      </c>
      <c r="BB1">
        <f>[1]TDSheet!BB2</f>
        <v>0</v>
      </c>
      <c r="BC1" t="str">
        <f>[1]TDSheet!BC2</f>
        <v>40817810038180733410</v>
      </c>
      <c r="BD1" t="str">
        <f>[1]TDSheet!BD2</f>
        <v>ПАО СБЕРБАНК</v>
      </c>
      <c r="BE1" t="str">
        <f>[1]TDSheet!BE2</f>
        <v>044525225</v>
      </c>
    </row>
    <row r="2" spans="1:57" x14ac:dyDescent="0.25">
      <c r="A2" t="str">
        <f>[1]TDSheet!A3</f>
        <v>Айбатов Жанибек Отепбергенович</v>
      </c>
      <c r="B2" t="str">
        <f>[1]TDSheet!B3</f>
        <v>Подсобный рабочий</v>
      </c>
      <c r="C2" t="str">
        <f>TEXT([1]TDSheet!C3,"ДД.ММ.ГГГГ")</f>
        <v>06.07.1987</v>
      </c>
      <c r="D2" t="str">
        <f>[1]TDSheet!D3</f>
        <v>УЗБЕКИСТАН</v>
      </c>
      <c r="E2" t="str">
        <f>[1]TDSheet!E3</f>
        <v>971802040577</v>
      </c>
      <c r="F2" t="str">
        <f>[1]TDSheet!F3</f>
        <v>213-550-540 24</v>
      </c>
      <c r="G2" t="str">
        <f>[1]TDSheet!G3</f>
        <v>Иностранный паспорт</v>
      </c>
      <c r="H2" t="str">
        <f>[1]TDSheet!H3</f>
        <v>Серия</v>
      </c>
      <c r="I2" t="str">
        <f>[1]TDSheet!I3</f>
        <v>FK</v>
      </c>
      <c r="J2" t="str">
        <f>[1]TDSheet!J3</f>
        <v>Номер</v>
      </c>
      <c r="K2" t="str">
        <f>[1]TDSheet!K3</f>
        <v>0160445</v>
      </c>
      <c r="L2" t="str">
        <f>[1]TDSheet!L3</f>
        <v>Выдан</v>
      </c>
      <c r="M2" t="str">
        <f>TEXT([1]TDSheet!M3,"ДД.ММ.ГГГГ")</f>
        <v>08.06.2021</v>
      </c>
      <c r="N2" t="str">
        <f>[1]TDSheet!N3</f>
        <v>МВД 35218</v>
      </c>
      <c r="O2">
        <f>[1]TDSheet!O3</f>
        <v>0</v>
      </c>
      <c r="P2" t="str">
        <f>[1]TDSheet!P3</f>
        <v>Серия FK Номер 0160445,Выдан 08.06.2021 МВД 35218</v>
      </c>
      <c r="Q2" t="str">
        <f>[1]TDSheet!Q3</f>
        <v>РОССИЯ, 107113, Москва г, ул Сокольнический Вал, д. 1Ж, стр. 4</v>
      </c>
      <c r="R2" t="str">
        <f>[1]TDSheet!R3</f>
        <v>РОССИЯ, 107113, Москва г, ул Сокольнический Вал, д. 1Ж, стр. 4</v>
      </c>
      <c r="S2" t="str">
        <f>[1]TDSheet!S3</f>
        <v>Патент: серия 77 №2104309189 16.09.2021 Отдел внешней трудовой миграции УВМ ГУ МВД России по Москве</v>
      </c>
      <c r="T2" t="str">
        <f>[1]TDSheet!T3</f>
        <v>00200</v>
      </c>
      <c r="U2">
        <f>[1]TDSheet!U3</f>
        <v>170</v>
      </c>
      <c r="V2" t="str">
        <f>[1]TDSheet!V3</f>
        <v>46/48</v>
      </c>
      <c r="W2">
        <f>[1]TDSheet!W3</f>
        <v>41</v>
      </c>
      <c r="X2">
        <f>[1]TDSheet!X3</f>
        <v>0</v>
      </c>
      <c r="Y2">
        <f>[1]TDSheet!Y3</f>
        <v>0</v>
      </c>
      <c r="Z2" t="str">
        <f>[1]TDSheet!Z3</f>
        <v>23.09.2021</v>
      </c>
      <c r="AA2" t="str">
        <f>[1]TDSheet!AA3</f>
        <v>23/09/3_2021</v>
      </c>
      <c r="AB2">
        <f>[1]TDSheet!AB3</f>
        <v>0</v>
      </c>
      <c r="AC2">
        <f>[1]TDSheet!AC3</f>
        <v>0</v>
      </c>
      <c r="AD2">
        <f>[1]TDSheet!AD3</f>
        <v>0</v>
      </c>
      <c r="AE2">
        <f>[1]TDSheet!AE3</f>
        <v>0</v>
      </c>
      <c r="AF2">
        <f>[1]TDSheet!AF3</f>
        <v>0</v>
      </c>
      <c r="AG2" t="str">
        <f>[1]TDSheet!AG3</f>
        <v>не надо</v>
      </c>
      <c r="AH2" t="str">
        <f>[1]TDSheet!AH3</f>
        <v>не надо</v>
      </c>
      <c r="AI2" t="str">
        <f>[1]TDSheet!AI3</f>
        <v>не надо</v>
      </c>
      <c r="AJ2">
        <f>[1]TDSheet!AJ3</f>
        <v>0</v>
      </c>
      <c r="AK2">
        <f>[1]TDSheet!AK3</f>
        <v>0</v>
      </c>
      <c r="AL2" t="str">
        <f>[1]TDSheet!AL3</f>
        <v>не надо</v>
      </c>
      <c r="AM2" t="str">
        <f>[1]TDSheet!AM3</f>
        <v>не надо</v>
      </c>
      <c r="AN2" t="str">
        <f>[1]TDSheet!AN3</f>
        <v>не надо</v>
      </c>
      <c r="AO2" t="str">
        <f>[1]TDSheet!AO3</f>
        <v>не надо</v>
      </c>
      <c r="AP2" t="str">
        <f>[1]TDSheet!AP3</f>
        <v>не надо</v>
      </c>
      <c r="AQ2" t="str">
        <f>[1]TDSheet!AQ3</f>
        <v>не надо</v>
      </c>
      <c r="AR2" t="str">
        <f>[1]TDSheet!AR3</f>
        <v>не надо</v>
      </c>
      <c r="AS2" t="str">
        <f>[1]TDSheet!AS3</f>
        <v>не надо</v>
      </c>
      <c r="AT2" t="str">
        <f>[1]TDSheet!AT3</f>
        <v>не надо</v>
      </c>
      <c r="AU2" t="str">
        <f>[1]TDSheet!AU3</f>
        <v>не надо</v>
      </c>
      <c r="AV2" t="str">
        <f>[1]TDSheet!AV3</f>
        <v>не надо</v>
      </c>
      <c r="AW2">
        <f>[1]TDSheet!AW3</f>
        <v>0</v>
      </c>
      <c r="AX2">
        <f>[1]TDSheet!AX3</f>
        <v>0</v>
      </c>
      <c r="AY2">
        <f>[1]TDSheet!AY3</f>
        <v>0</v>
      </c>
      <c r="AZ2">
        <f>[1]TDSheet!AZ3</f>
        <v>0</v>
      </c>
      <c r="BA2" t="str">
        <f>[1]TDSheet!BA3</f>
        <v>8-926-342-96-78</v>
      </c>
      <c r="BB2">
        <f>[1]TDSheet!BB3</f>
        <v>0</v>
      </c>
      <c r="BC2" t="str">
        <f>[1]TDSheet!BC3</f>
        <v>40820810940011462168</v>
      </c>
      <c r="BD2" t="str">
        <f>[1]TDSheet!BD3</f>
        <v>ПАО СБЕРБАНК</v>
      </c>
      <c r="BE2" t="str">
        <f>[1]TDSheet!BE3</f>
        <v>044525225</v>
      </c>
    </row>
    <row r="3" spans="1:57" x14ac:dyDescent="0.25">
      <c r="A3" t="str">
        <f>[1]TDSheet!A4</f>
        <v>Аммаев Роман Магомедович  (сроч.)</v>
      </c>
      <c r="B3" t="str">
        <f>[1]TDSheet!B4</f>
        <v>Производитель работ</v>
      </c>
      <c r="C3" t="str">
        <f>TEXT([1]TDSheet!C4,"ДД.ММ.ГГГГ")</f>
        <v>10.09.1980</v>
      </c>
      <c r="D3" t="str">
        <f>[1]TDSheet!D4</f>
        <v>РОССИЯ</v>
      </c>
      <c r="E3" t="str">
        <f>[1]TDSheet!E4</f>
        <v>262411933603</v>
      </c>
      <c r="F3" t="str">
        <f>[1]TDSheet!F4</f>
        <v>156-513-784 78</v>
      </c>
      <c r="G3" t="str">
        <f>[1]TDSheet!G4</f>
        <v>Паспорт гражданина РФ</v>
      </c>
      <c r="H3" t="str">
        <f>[1]TDSheet!H4</f>
        <v>Серия</v>
      </c>
      <c r="I3" t="str">
        <f>[1]TDSheet!I4</f>
        <v>82 03</v>
      </c>
      <c r="J3" t="str">
        <f>[1]TDSheet!J4</f>
        <v>Номер</v>
      </c>
      <c r="K3" t="str">
        <f>[1]TDSheet!K4</f>
        <v>136625</v>
      </c>
      <c r="L3" t="str">
        <f>[1]TDSheet!L4</f>
        <v>Выдан</v>
      </c>
      <c r="M3" t="str">
        <f>TEXT([1]TDSheet!M4,"ДД.ММ.ГГГГ")</f>
        <v>06.03.2003</v>
      </c>
      <c r="N3" t="str">
        <f>[1]TDSheet!N4</f>
        <v>Кочубейским отделением милиции Ресбулики Дагестан</v>
      </c>
      <c r="O3" t="str">
        <f>[1]TDSheet!O4</f>
        <v>053-004</v>
      </c>
      <c r="P3" t="str">
        <f>[1]TDSheet!P4</f>
        <v>Серия 82 03 Номер 136625,Выдан 06.03.2003 Кочубейским отделением милиции Ресбулики Дагестан</v>
      </c>
      <c r="Q3" t="str">
        <f>[1]TDSheet!Q4</f>
        <v>357973, Ставропольский край, Левокумский р-н, Урожайное с, Пролетарская ул, дом № 72</v>
      </c>
      <c r="R3" t="str">
        <f>[1]TDSheet!R4</f>
        <v>357973, Ставропольский край, Левокумский р-н, Урожайное с, Пролетарская ул, дом № 72</v>
      </c>
      <c r="S3">
        <f>[1]TDSheet!S4</f>
        <v>0</v>
      </c>
      <c r="T3" t="str">
        <f>[1]TDSheet!T4</f>
        <v>0000000105</v>
      </c>
      <c r="U3">
        <f>[1]TDSheet!U4</f>
        <v>182</v>
      </c>
      <c r="V3" t="str">
        <f>[1]TDSheet!V4</f>
        <v>52-54</v>
      </c>
      <c r="W3">
        <f>[1]TDSheet!W4</f>
        <v>44</v>
      </c>
      <c r="X3">
        <f>[1]TDSheet!X4</f>
        <v>0</v>
      </c>
      <c r="Y3">
        <f>[1]TDSheet!Y4</f>
        <v>0</v>
      </c>
      <c r="Z3" t="str">
        <f>[1]TDSheet!Z4</f>
        <v>03.07.2017</v>
      </c>
      <c r="AA3" t="str">
        <f>[1]TDSheet!AA4</f>
        <v>ТХ-82</v>
      </c>
      <c r="AB3">
        <f>[1]TDSheet!AB4</f>
        <v>0</v>
      </c>
      <c r="AC3">
        <f>[1]TDSheet!AC4</f>
        <v>1</v>
      </c>
      <c r="AD3">
        <f>[1]TDSheet!AD4</f>
        <v>44518</v>
      </c>
      <c r="AE3">
        <f>[1]TDSheet!AE4</f>
        <v>1</v>
      </c>
      <c r="AF3">
        <f>[1]TDSheet!AF4</f>
        <v>44431</v>
      </c>
      <c r="AG3">
        <f>[1]TDSheet!AG4</f>
        <v>1</v>
      </c>
      <c r="AH3">
        <f>[1]TDSheet!AH4</f>
        <v>44539</v>
      </c>
      <c r="AI3" t="str">
        <f>[1]TDSheet!AI4</f>
        <v>3 группа</v>
      </c>
      <c r="AJ3">
        <f>[1]TDSheet!AJ4</f>
        <v>1</v>
      </c>
      <c r="AK3">
        <f>[1]TDSheet!AK4</f>
        <v>44365</v>
      </c>
      <c r="AL3" t="str">
        <f>[1]TDSheet!AL4</f>
        <v>не надо</v>
      </c>
      <c r="AM3" t="str">
        <f>[1]TDSheet!AM4</f>
        <v>не надо</v>
      </c>
      <c r="AN3">
        <f>[1]TDSheet!AN4</f>
        <v>44531</v>
      </c>
      <c r="AO3" t="str">
        <f>[1]TDSheet!AO4</f>
        <v>не надо</v>
      </c>
      <c r="AP3" t="str">
        <f>[1]TDSheet!AP4</f>
        <v>не надо</v>
      </c>
      <c r="AQ3" t="str">
        <f>[1]TDSheet!AQ4</f>
        <v>не надо</v>
      </c>
      <c r="AR3" t="str">
        <f>[1]TDSheet!AR4</f>
        <v>не надо</v>
      </c>
      <c r="AS3" t="str">
        <f>[1]TDSheet!AS4</f>
        <v>не надо</v>
      </c>
      <c r="AT3">
        <f>[1]TDSheet!AT4</f>
        <v>1</v>
      </c>
      <c r="AU3" t="str">
        <f>[1]TDSheet!AU4</f>
        <v>Стропальщик 5р, 02.08.2021, Кровельщик 5 разряда, протокол от 23.09.2019 №342 ЭК</v>
      </c>
      <c r="AV3">
        <f>[1]TDSheet!AV4</f>
        <v>44525</v>
      </c>
      <c r="AW3" t="str">
        <f>[1]TDSheet!AW4</f>
        <v>Кровельщик 5 разряда, протокол от 23.09.2019 №342 ЭК</v>
      </c>
      <c r="AX3">
        <f>[1]TDSheet!AX4</f>
        <v>44241</v>
      </c>
      <c r="AY3">
        <f>[1]TDSheet!AY4</f>
        <v>0</v>
      </c>
      <c r="AZ3">
        <f>[1]TDSheet!AZ4</f>
        <v>0</v>
      </c>
      <c r="BA3" t="str">
        <f>[1]TDSheet!BA4</f>
        <v xml:space="preserve">8-985-159-46-08  </v>
      </c>
      <c r="BB3" t="str">
        <f>[1]TDSheet!BB4</f>
        <v>Ammaevrm@gmail.com</v>
      </c>
      <c r="BC3" t="str">
        <f>[1]TDSheet!BC4</f>
        <v>40817810340010519382</v>
      </c>
      <c r="BD3" t="str">
        <f>[1]TDSheet!BD4</f>
        <v>ПАО СБЕРБАНК</v>
      </c>
      <c r="BE3" t="str">
        <f>[1]TDSheet!BE4</f>
        <v>044525225</v>
      </c>
    </row>
    <row r="4" spans="1:57" x14ac:dyDescent="0.25">
      <c r="A4" t="str">
        <f>[1]TDSheet!A5</f>
        <v>Афанасьев Олег Михайлович</v>
      </c>
      <c r="B4" t="str">
        <f>[1]TDSheet!B5</f>
        <v>Кровельщик</v>
      </c>
      <c r="C4" t="str">
        <f>TEXT([1]TDSheet!C5,"ДД.ММ.ГГГГ")</f>
        <v>11.04.1984</v>
      </c>
      <c r="D4" t="str">
        <f>[1]TDSheet!D5</f>
        <v>БЕЛАРУСЬ</v>
      </c>
      <c r="E4" t="str">
        <f>[1]TDSheet!E5</f>
        <v>770877292976</v>
      </c>
      <c r="F4" t="str">
        <f>[1]TDSheet!F5</f>
        <v>205-700-658 30</v>
      </c>
      <c r="G4" t="str">
        <f>[1]TDSheet!G5</f>
        <v>Иностранный паспорт</v>
      </c>
      <c r="H4" t="str">
        <f>[1]TDSheet!H5</f>
        <v>Серия</v>
      </c>
      <c r="I4" t="str">
        <f>[1]TDSheet!I5</f>
        <v>КВ</v>
      </c>
      <c r="J4" t="str">
        <f>[1]TDSheet!J5</f>
        <v>Номер</v>
      </c>
      <c r="K4" t="str">
        <f>[1]TDSheet!K5</f>
        <v>1975502</v>
      </c>
      <c r="L4" t="str">
        <f>[1]TDSheet!L5</f>
        <v>Выдан</v>
      </c>
      <c r="M4" t="str">
        <f>TEXT([1]TDSheet!M5,"ДД.ММ.ГГГГ")</f>
        <v>26.08.2013</v>
      </c>
      <c r="N4" t="str">
        <f>[1]TDSheet!N5</f>
        <v>ЧАУССКИЙ РОВД МОГИЛЕВСКОЙ ОБЛАСТИ</v>
      </c>
      <c r="O4">
        <f>[1]TDSheet!O5</f>
        <v>0</v>
      </c>
      <c r="P4" t="str">
        <f>[1]TDSheet!P5</f>
        <v>Серия КВ Номер 1975502,Выдан 26.08.2013 ЧАУССКИЙ РОВД МОГИЛЕВСКОЙ ОБЛАСТИ</v>
      </c>
      <c r="Q4" t="str">
        <f>[1]TDSheet!Q5</f>
        <v>Беларусь,Могилевская область, д. Благовичи, ул. Заозерная д.8</v>
      </c>
      <c r="R4" t="str">
        <f>[1]TDSheet!R5</f>
        <v>г.Одинцово</v>
      </c>
      <c r="S4">
        <f>[1]TDSheet!S5</f>
        <v>0</v>
      </c>
      <c r="T4" t="str">
        <f>[1]TDSheet!T5</f>
        <v>00171</v>
      </c>
      <c r="U4">
        <f>[1]TDSheet!U5</f>
        <v>170</v>
      </c>
      <c r="V4" t="str">
        <f>[1]TDSheet!V5</f>
        <v>46-48</v>
      </c>
      <c r="W4">
        <f>[1]TDSheet!W5</f>
        <v>43</v>
      </c>
      <c r="X4">
        <f>[1]TDSheet!X5</f>
        <v>0</v>
      </c>
      <c r="Y4">
        <f>[1]TDSheet!Y5</f>
        <v>0</v>
      </c>
      <c r="Z4" t="str">
        <f>[1]TDSheet!Z5</f>
        <v>23.07.2021</v>
      </c>
      <c r="AA4" t="str">
        <f>[1]TDSheet!AA5</f>
        <v>23/07/01_2021</v>
      </c>
      <c r="AB4">
        <f>[1]TDSheet!AB5</f>
        <v>0</v>
      </c>
      <c r="AC4">
        <f>[1]TDSheet!AC5</f>
        <v>1</v>
      </c>
      <c r="AD4">
        <f>[1]TDSheet!AD5</f>
        <v>44373</v>
      </c>
      <c r="AE4">
        <f>[1]TDSheet!AE5</f>
        <v>0</v>
      </c>
      <c r="AF4">
        <f>[1]TDSheet!AF5</f>
        <v>0</v>
      </c>
      <c r="AG4">
        <f>[1]TDSheet!AG5</f>
        <v>1</v>
      </c>
      <c r="AH4">
        <f>[1]TDSheet!AH5</f>
        <v>44539</v>
      </c>
      <c r="AI4" t="str">
        <f>[1]TDSheet!AI5</f>
        <v>1 группа</v>
      </c>
      <c r="AJ4">
        <f>[1]TDSheet!AJ5</f>
        <v>1</v>
      </c>
      <c r="AK4">
        <f>[1]TDSheet!AK5</f>
        <v>44373</v>
      </c>
      <c r="AL4" t="str">
        <f>[1]TDSheet!AL5</f>
        <v>не надо</v>
      </c>
      <c r="AM4" t="str">
        <f>[1]TDSheet!AM5</f>
        <v>не надо</v>
      </c>
      <c r="AN4" t="str">
        <f>[1]TDSheet!AN5</f>
        <v>не надо</v>
      </c>
      <c r="AO4" t="str">
        <f>[1]TDSheet!AO5</f>
        <v>не надо</v>
      </c>
      <c r="AP4" t="str">
        <f>[1]TDSheet!AP5</f>
        <v>не надо</v>
      </c>
      <c r="AQ4" t="str">
        <f>[1]TDSheet!AQ5</f>
        <v>не надо</v>
      </c>
      <c r="AR4" t="str">
        <f>[1]TDSheet!AR5</f>
        <v>не надо</v>
      </c>
      <c r="AS4" t="str">
        <f>[1]TDSheet!AS5</f>
        <v>не надо</v>
      </c>
      <c r="AT4">
        <f>[1]TDSheet!AT5</f>
        <v>0</v>
      </c>
      <c r="AU4" t="str">
        <f>[1]TDSheet!AU5</f>
        <v>нет,штат</v>
      </c>
      <c r="AV4">
        <f>[1]TDSheet!AV5</f>
        <v>0</v>
      </c>
      <c r="AW4">
        <f>[1]TDSheet!AW5</f>
        <v>0</v>
      </c>
      <c r="AX4">
        <f>[1]TDSheet!AX5</f>
        <v>0</v>
      </c>
      <c r="AY4">
        <f>[1]TDSheet!AY5</f>
        <v>0</v>
      </c>
      <c r="AZ4">
        <f>[1]TDSheet!AZ5</f>
        <v>0</v>
      </c>
      <c r="BA4" t="str">
        <f>[1]TDSheet!BA5</f>
        <v>8-991-754-15-32</v>
      </c>
      <c r="BB4">
        <f>[1]TDSheet!BB5</f>
        <v>0</v>
      </c>
      <c r="BC4" t="str">
        <f>[1]TDSheet!BC5</f>
        <v>40820810740010325820</v>
      </c>
      <c r="BD4" t="str">
        <f>[1]TDSheet!BD5</f>
        <v>ПАО СБЕРБАНК</v>
      </c>
      <c r="BE4" t="str">
        <f>[1]TDSheet!BE5</f>
        <v>044525225</v>
      </c>
    </row>
    <row r="5" spans="1:57" x14ac:dyDescent="0.25">
      <c r="A5" t="str">
        <f>[1]TDSheet!A6</f>
        <v>Бахиев Руслан Бернауперниевич</v>
      </c>
      <c r="B5" t="str">
        <f>[1]TDSheet!B6</f>
        <v>Гидроизолировщик</v>
      </c>
      <c r="C5" t="str">
        <f>TEXT([1]TDSheet!C6,"ДД.ММ.ГГГГ")</f>
        <v>04.04.1987</v>
      </c>
      <c r="D5" t="str">
        <f>[1]TDSheet!D6</f>
        <v>УЗБЕКИСТАН</v>
      </c>
      <c r="E5" t="str">
        <f>[1]TDSheet!E6</f>
        <v>775108271094</v>
      </c>
      <c r="F5" t="str">
        <f>[1]TDSheet!F6</f>
        <v>194-827-631 18</v>
      </c>
      <c r="G5" t="str">
        <f>[1]TDSheet!G6</f>
        <v>Иностранный паспорт</v>
      </c>
      <c r="H5" t="str">
        <f>[1]TDSheet!H6</f>
        <v>Серия</v>
      </c>
      <c r="I5" t="str">
        <f>[1]TDSheet!I6</f>
        <v>FK</v>
      </c>
      <c r="J5" t="str">
        <f>[1]TDSheet!J6</f>
        <v>Номер</v>
      </c>
      <c r="K5" t="str">
        <f>[1]TDSheet!K6</f>
        <v>0078499</v>
      </c>
      <c r="L5" t="str">
        <f>[1]TDSheet!L6</f>
        <v>Выдан</v>
      </c>
      <c r="M5" t="str">
        <f>TEXT([1]TDSheet!M6,"ДД.ММ.ГГГГ")</f>
        <v>27.01.2021</v>
      </c>
      <c r="N5" t="str">
        <f>[1]TDSheet!N6</f>
        <v>Государственный центр персонализации</v>
      </c>
      <c r="O5">
        <f>[1]TDSheet!O6</f>
        <v>0</v>
      </c>
      <c r="P5" t="str">
        <f>[1]TDSheet!P6</f>
        <v>Серия FK Номер 0078499,Выдан 27.01.2021 Государственный центр персонализации</v>
      </c>
      <c r="Q5" t="str">
        <f>[1]TDSheet!Q6</f>
        <v>РОССИЯ, 121500, Москва г, ул 2-я Мякининская, д. 38, стр. 2</v>
      </c>
      <c r="R5" t="str">
        <f>[1]TDSheet!R6</f>
        <v>РОССИЯ, 121500, Москва г, ул 2-я Мякининская, д. 38, стр. 2</v>
      </c>
      <c r="S5" t="str">
        <f>[1]TDSheet!S6</f>
        <v>Патент: серия 77 №2103019335  22.07.2021 Отдел внешней трудовой миграции УВМ ГУ МВД России по Москве</v>
      </c>
      <c r="T5" t="str">
        <f>[1]TDSheet!T6</f>
        <v>00194</v>
      </c>
      <c r="U5">
        <f>[1]TDSheet!U6</f>
        <v>180</v>
      </c>
      <c r="V5" t="str">
        <f>[1]TDSheet!V6</f>
        <v>56-58</v>
      </c>
      <c r="W5">
        <f>[1]TDSheet!W6</f>
        <v>43</v>
      </c>
      <c r="X5">
        <f>[1]TDSheet!X6</f>
        <v>0</v>
      </c>
      <c r="Y5">
        <f>[1]TDSheet!Y6</f>
        <v>0</v>
      </c>
      <c r="Z5" t="str">
        <f>[1]TDSheet!Z6</f>
        <v>16.09.2021</v>
      </c>
      <c r="AA5" t="str">
        <f>[1]TDSheet!AA6</f>
        <v>16/09_2021</v>
      </c>
      <c r="AB5">
        <f>[1]TDSheet!AB6</f>
        <v>0</v>
      </c>
      <c r="AC5" t="str">
        <f>[1]TDSheet!AC6</f>
        <v>не надо</v>
      </c>
      <c r="AD5" t="str">
        <f>[1]TDSheet!AD6</f>
        <v>не надо</v>
      </c>
      <c r="AE5" t="str">
        <f>[1]TDSheet!AE6</f>
        <v>не надо</v>
      </c>
      <c r="AF5">
        <f>[1]TDSheet!AF6</f>
        <v>0</v>
      </c>
      <c r="AG5">
        <f>[1]TDSheet!AG6</f>
        <v>0</v>
      </c>
      <c r="AH5" t="str">
        <f>[1]TDSheet!AH6</f>
        <v>не надо</v>
      </c>
      <c r="AI5" t="str">
        <f>[1]TDSheet!AI6</f>
        <v>не надо</v>
      </c>
      <c r="AJ5" t="str">
        <f>[1]TDSheet!AJ6</f>
        <v>не надо</v>
      </c>
      <c r="AK5" t="str">
        <f>[1]TDSheet!AK6</f>
        <v>не надо</v>
      </c>
      <c r="AL5" t="str">
        <f>[1]TDSheet!AL6</f>
        <v>не надо</v>
      </c>
      <c r="AM5" t="str">
        <f>[1]TDSheet!AM6</f>
        <v>не надо</v>
      </c>
      <c r="AN5" t="str">
        <f>[1]TDSheet!AN6</f>
        <v>не надо</v>
      </c>
      <c r="AO5" t="str">
        <f>[1]TDSheet!AO6</f>
        <v>не надо</v>
      </c>
      <c r="AP5" t="str">
        <f>[1]TDSheet!AP6</f>
        <v>не надо</v>
      </c>
      <c r="AQ5" t="str">
        <f>[1]TDSheet!AQ6</f>
        <v>не надо</v>
      </c>
      <c r="AR5" t="str">
        <f>[1]TDSheet!AR6</f>
        <v>не надо</v>
      </c>
      <c r="AS5">
        <f>[1]TDSheet!AS6</f>
        <v>0</v>
      </c>
      <c r="AT5">
        <f>[1]TDSheet!AT6</f>
        <v>0</v>
      </c>
      <c r="AU5">
        <f>[1]TDSheet!AU6</f>
        <v>0</v>
      </c>
      <c r="AV5">
        <f>[1]TDSheet!AV6</f>
        <v>0</v>
      </c>
      <c r="AW5">
        <f>[1]TDSheet!AW6</f>
        <v>0</v>
      </c>
      <c r="AX5">
        <f>[1]TDSheet!AX6</f>
        <v>0</v>
      </c>
      <c r="AY5">
        <f>[1]TDSheet!AY6</f>
        <v>0</v>
      </c>
      <c r="AZ5">
        <f>[1]TDSheet!AZ6</f>
        <v>0</v>
      </c>
      <c r="BA5" t="str">
        <f>[1]TDSheet!BA6</f>
        <v>8-999-336-29-36</v>
      </c>
      <c r="BB5">
        <f>[1]TDSheet!BB6</f>
        <v>0</v>
      </c>
      <c r="BC5" t="str">
        <f>[1]TDSheet!BC6</f>
        <v>40820810738256508701</v>
      </c>
      <c r="BD5" t="str">
        <f>[1]TDSheet!BD6</f>
        <v>ПАО СБЕРБАНК</v>
      </c>
      <c r="BE5" t="str">
        <f>[1]TDSheet!BE6</f>
        <v>044525225</v>
      </c>
    </row>
    <row r="6" spans="1:57" x14ac:dyDescent="0.25">
      <c r="A6" t="str">
        <f>[1]TDSheet!A7</f>
        <v>Виневцев Сергей Валентинович</v>
      </c>
      <c r="B6" t="str">
        <f>[1]TDSheet!B7</f>
        <v>Производитель работ</v>
      </c>
      <c r="C6" t="str">
        <f>TEXT([1]TDSheet!C7,"ДД.ММ.ГГГГ")</f>
        <v>09.10.1967</v>
      </c>
      <c r="D6" t="str">
        <f>[1]TDSheet!D7</f>
        <v>РОССИЯ</v>
      </c>
      <c r="E6" t="str">
        <f>[1]TDSheet!E7</f>
        <v>425305791423</v>
      </c>
      <c r="F6" t="str">
        <f>[1]TDSheet!F7</f>
        <v>190-339-406 67</v>
      </c>
      <c r="G6" t="str">
        <f>[1]TDSheet!G7</f>
        <v>Паспорт гражданина РФ</v>
      </c>
      <c r="H6" t="str">
        <f>[1]TDSheet!H7</f>
        <v>Серия</v>
      </c>
      <c r="I6" t="str">
        <f>[1]TDSheet!I7</f>
        <v>32 16</v>
      </c>
      <c r="J6" t="str">
        <f>[1]TDSheet!J7</f>
        <v>Номер</v>
      </c>
      <c r="K6" t="str">
        <f>[1]TDSheet!K7</f>
        <v>691287</v>
      </c>
      <c r="L6" t="str">
        <f>[1]TDSheet!L7</f>
        <v>Выдан</v>
      </c>
      <c r="M6" t="str">
        <f>TEXT([1]TDSheet!M7,"ДД.ММ.ГГГГ")</f>
        <v>12.07.2016</v>
      </c>
      <c r="N6" t="str">
        <f>[1]TDSheet!N7</f>
        <v>Отделением в Орджоникидзевском районе Отдела УФМС России по Кемеровской области в гор. Новокузнецке</v>
      </c>
      <c r="O6" t="str">
        <f>[1]TDSheet!O7</f>
        <v>420-031</v>
      </c>
      <c r="P6" t="str">
        <f>[1]TDSheet!P7</f>
        <v>Серия 32 16 Номер 691287,Выдан 12.07.2016 Отделением в Орджоникидзевском районе Отдела УФМС России по Кемеровской области в гор. Новокузнецке</v>
      </c>
      <c r="Q6" t="str">
        <f>[1]TDSheet!Q7</f>
        <v>РОССИЯ, 347058, Ростовская обл, р-н Белокалитвинский, п Мельничный, ул Кленовая, двлд. 24</v>
      </c>
      <c r="R6" t="str">
        <f>[1]TDSheet!R7</f>
        <v>РОССИЯ, 347058, Ростовская обл, р-н Белокалитвинский, п Мельничный, ул Кленовая, двлд. 24</v>
      </c>
      <c r="S6">
        <f>[1]TDSheet!S7</f>
        <v>0</v>
      </c>
      <c r="T6" t="str">
        <f>[1]TDSheet!T7</f>
        <v>00213</v>
      </c>
      <c r="U6">
        <f>[1]TDSheet!U7</f>
        <v>170</v>
      </c>
      <c r="V6" t="str">
        <f>[1]TDSheet!V7</f>
        <v>54-56</v>
      </c>
      <c r="W6">
        <f>[1]TDSheet!W7</f>
        <v>42</v>
      </c>
      <c r="X6">
        <f>[1]TDSheet!X7</f>
        <v>0</v>
      </c>
      <c r="Y6">
        <f>[1]TDSheet!Y7</f>
        <v>0</v>
      </c>
      <c r="Z6" t="str">
        <f>[1]TDSheet!Z7</f>
        <v>11.11.2021</v>
      </c>
      <c r="AA6" t="str">
        <f>[1]TDSheet!AA7</f>
        <v>11/11-1_2021</v>
      </c>
      <c r="AB6">
        <f>[1]TDSheet!AB7</f>
        <v>0</v>
      </c>
      <c r="AC6">
        <f>[1]TDSheet!AC7</f>
        <v>1</v>
      </c>
      <c r="AD6">
        <f>[1]TDSheet!AD7</f>
        <v>44518</v>
      </c>
      <c r="AE6">
        <f>[1]TDSheet!AE7</f>
        <v>1</v>
      </c>
      <c r="AF6">
        <f>[1]TDSheet!AF7</f>
        <v>44530</v>
      </c>
      <c r="AG6">
        <f>[1]TDSheet!AG7</f>
        <v>1</v>
      </c>
      <c r="AH6">
        <f>[1]TDSheet!AH7</f>
        <v>44539</v>
      </c>
      <c r="AI6" t="str">
        <f>[1]TDSheet!AI7</f>
        <v>2 группа</v>
      </c>
      <c r="AJ6">
        <f>[1]TDSheet!AJ7</f>
        <v>1</v>
      </c>
      <c r="AK6">
        <f>[1]TDSheet!AK7</f>
        <v>44529</v>
      </c>
      <c r="AL6" t="str">
        <f>[1]TDSheet!AL7</f>
        <v>не надо</v>
      </c>
      <c r="AM6" t="str">
        <f>[1]TDSheet!AM7</f>
        <v>не надо</v>
      </c>
      <c r="AN6" t="str">
        <f>[1]TDSheet!AN7</f>
        <v>не надо</v>
      </c>
      <c r="AO6" t="str">
        <f>[1]TDSheet!AO7</f>
        <v>не надо</v>
      </c>
      <c r="AP6" t="str">
        <f>[1]TDSheet!AP7</f>
        <v>не надо</v>
      </c>
      <c r="AQ6" t="str">
        <f>[1]TDSheet!AQ7</f>
        <v>не надо</v>
      </c>
      <c r="AR6" t="str">
        <f>[1]TDSheet!AR7</f>
        <v>не надо</v>
      </c>
      <c r="AS6" t="str">
        <f>[1]TDSheet!AS7</f>
        <v>не надо</v>
      </c>
      <c r="AT6">
        <f>[1]TDSheet!AT7</f>
        <v>1</v>
      </c>
      <c r="AU6" t="str">
        <f>[1]TDSheet!AU7</f>
        <v>Стропальщик 5 разряда, 24.12.2021</v>
      </c>
      <c r="AV6">
        <f>[1]TDSheet!AV7</f>
        <v>44525</v>
      </c>
      <c r="AW6">
        <f>[1]TDSheet!AW7</f>
        <v>0</v>
      </c>
      <c r="AX6">
        <f>[1]TDSheet!AX7</f>
        <v>0</v>
      </c>
      <c r="AY6">
        <f>[1]TDSheet!AY7</f>
        <v>0</v>
      </c>
      <c r="AZ6">
        <f>[1]TDSheet!AZ7</f>
        <v>0</v>
      </c>
      <c r="BA6" t="str">
        <f>[1]TDSheet!BA7</f>
        <v>89613127069</v>
      </c>
      <c r="BB6" t="str">
        <f>[1]TDSheet!BB7</f>
        <v>sergey.vinevtsev@mail.ru</v>
      </c>
      <c r="BC6" t="str">
        <f>[1]TDSheet!BC7</f>
        <v>40817810052099351768</v>
      </c>
      <c r="BD6" t="str">
        <f>[1]TDSheet!BD7</f>
        <v>ПАО СБЕРБАНК</v>
      </c>
      <c r="BE6" t="str">
        <f>[1]TDSheet!BE7</f>
        <v>046015602</v>
      </c>
    </row>
    <row r="7" spans="1:57" x14ac:dyDescent="0.25">
      <c r="A7" t="str">
        <f>[1]TDSheet!A8</f>
        <v>Дрижинский Михаил Александрович</v>
      </c>
      <c r="B7" t="str">
        <f>[1]TDSheet!B8</f>
        <v>Мастер</v>
      </c>
      <c r="C7" t="str">
        <f>TEXT([1]TDSheet!C8,"ДД.ММ.ГГГГ")</f>
        <v>26.02.1990</v>
      </c>
      <c r="D7" t="str">
        <f>[1]TDSheet!D8</f>
        <v>БЕЛАРУСЬ</v>
      </c>
      <c r="E7" t="str">
        <f>[1]TDSheet!E8</f>
        <v>773436902768</v>
      </c>
      <c r="F7" t="str">
        <f>[1]TDSheet!F8</f>
        <v>199-472-794 52</v>
      </c>
      <c r="G7" t="str">
        <f>[1]TDSheet!G8</f>
        <v>Иностранный паспорт</v>
      </c>
      <c r="H7" t="str">
        <f>[1]TDSheet!H8</f>
        <v>Серия</v>
      </c>
      <c r="I7" t="str">
        <f>[1]TDSheet!I8</f>
        <v>KB</v>
      </c>
      <c r="J7" t="str">
        <f>[1]TDSheet!J8</f>
        <v>Номер</v>
      </c>
      <c r="K7" t="str">
        <f>[1]TDSheet!K8</f>
        <v>2080293</v>
      </c>
      <c r="L7" t="str">
        <f>[1]TDSheet!L8</f>
        <v>Выдан</v>
      </c>
      <c r="M7" t="str">
        <f>TEXT([1]TDSheet!M8,"ДД.ММ.ГГГГ")</f>
        <v>23.12.2014</v>
      </c>
      <c r="N7" t="str">
        <f>[1]TDSheet!N8</f>
        <v>ЧАУССКИЙ РОВД МОГИЛЕВСКОЙ ОБЛАСТИ</v>
      </c>
      <c r="O7">
        <f>[1]TDSheet!O8</f>
        <v>0</v>
      </c>
      <c r="P7" t="str">
        <f>[1]TDSheet!P8</f>
        <v>Серия KB Номер 2080293,Выдан 23.12.2014 ЧАУССКИЙ РОВД МОГИЛЕВСКОЙ ОБЛАСТИ</v>
      </c>
      <c r="Q7" t="str">
        <f>[1]TDSheet!Q8</f>
        <v>РОССИЯ, Москва г, Маршала Василевского ул, дом 13, корпус 1, квартира 28</v>
      </c>
      <c r="R7" t="str">
        <f>[1]TDSheet!R8</f>
        <v>РОССИЯ, Москва г, Маршала Василевского ул, дом 13, корпус 1, квартира 28</v>
      </c>
      <c r="S7">
        <f>[1]TDSheet!S8</f>
        <v>0</v>
      </c>
      <c r="T7" t="str">
        <f>[1]TDSheet!T8</f>
        <v>00187</v>
      </c>
      <c r="U7">
        <f>[1]TDSheet!U8</f>
        <v>187</v>
      </c>
      <c r="V7" t="str">
        <f>[1]TDSheet!V8</f>
        <v>48-50</v>
      </c>
      <c r="W7">
        <f>[1]TDSheet!W8</f>
        <v>44</v>
      </c>
      <c r="X7">
        <f>[1]TDSheet!X8</f>
        <v>0</v>
      </c>
      <c r="Y7">
        <f>[1]TDSheet!Y8</f>
        <v>0</v>
      </c>
      <c r="Z7" t="str">
        <f>[1]TDSheet!Z8</f>
        <v>30.08.2021</v>
      </c>
      <c r="AA7" t="str">
        <f>[1]TDSheet!AA8</f>
        <v>30/08-1_2021</v>
      </c>
      <c r="AB7">
        <f>[1]TDSheet!AB8</f>
        <v>0</v>
      </c>
      <c r="AC7">
        <f>[1]TDSheet!AC8</f>
        <v>1</v>
      </c>
      <c r="AD7">
        <f>[1]TDSheet!AD8</f>
        <v>44518</v>
      </c>
      <c r="AE7">
        <f>[1]TDSheet!AE8</f>
        <v>1</v>
      </c>
      <c r="AF7">
        <f>[1]TDSheet!AF8</f>
        <v>44530</v>
      </c>
      <c r="AG7">
        <f>[1]TDSheet!AG8</f>
        <v>1</v>
      </c>
      <c r="AH7">
        <f>[1]TDSheet!AH8</f>
        <v>44539</v>
      </c>
      <c r="AI7" t="str">
        <f>[1]TDSheet!AI8</f>
        <v>2 группа</v>
      </c>
      <c r="AJ7">
        <f>[1]TDSheet!AJ8</f>
        <v>1</v>
      </c>
      <c r="AK7">
        <f>[1]TDSheet!AK8</f>
        <v>44529</v>
      </c>
      <c r="AL7" t="str">
        <f>[1]TDSheet!AL8</f>
        <v>не надо</v>
      </c>
      <c r="AM7" t="str">
        <f>[1]TDSheet!AM8</f>
        <v>не надо</v>
      </c>
      <c r="AN7" t="str">
        <f>[1]TDSheet!AN8</f>
        <v>не надо</v>
      </c>
      <c r="AO7" t="str">
        <f>[1]TDSheet!AO8</f>
        <v>не надо</v>
      </c>
      <c r="AP7" t="str">
        <f>[1]TDSheet!AP8</f>
        <v>не надо</v>
      </c>
      <c r="AQ7" t="str">
        <f>[1]TDSheet!AQ8</f>
        <v>не надо</v>
      </c>
      <c r="AR7" t="str">
        <f>[1]TDSheet!AR8</f>
        <v>не надо</v>
      </c>
      <c r="AS7" t="str">
        <f>[1]TDSheet!AS8</f>
        <v>не надо</v>
      </c>
      <c r="AT7">
        <f>[1]TDSheet!AT8</f>
        <v>1</v>
      </c>
      <c r="AU7" t="str">
        <f>[1]TDSheet!AU8</f>
        <v>Стропальщик 5 разряда, 10.11.2021</v>
      </c>
      <c r="AV7">
        <f>[1]TDSheet!AV8</f>
        <v>44553</v>
      </c>
      <c r="AW7">
        <f>[1]TDSheet!AW8</f>
        <v>0</v>
      </c>
      <c r="AX7">
        <f>[1]TDSheet!AX8</f>
        <v>44241</v>
      </c>
      <c r="AY7">
        <f>[1]TDSheet!AY8</f>
        <v>0</v>
      </c>
      <c r="AZ7">
        <f>[1]TDSheet!AZ8</f>
        <v>0</v>
      </c>
      <c r="BA7" t="str">
        <f>[1]TDSheet!BA8</f>
        <v>8-985-624-68-34</v>
      </c>
      <c r="BB7" t="str">
        <f>[1]TDSheet!BB8</f>
        <v>sekundant1111@gmail.com</v>
      </c>
      <c r="BC7" t="str">
        <f>[1]TDSheet!BC8</f>
        <v>40820810438043005047</v>
      </c>
      <c r="BD7" t="str">
        <f>[1]TDSheet!BD8</f>
        <v>ПАО СБЕРБАНК</v>
      </c>
      <c r="BE7" t="str">
        <f>[1]TDSheet!BE8</f>
        <v>044525225</v>
      </c>
    </row>
    <row r="8" spans="1:57" x14ac:dyDescent="0.25">
      <c r="A8" t="str">
        <f>[1]TDSheet!A9</f>
        <v>Дровосеков Степан Алексеевич</v>
      </c>
      <c r="B8" t="str">
        <f>[1]TDSheet!B9</f>
        <v>Мастер</v>
      </c>
      <c r="C8" t="str">
        <f>TEXT([1]TDSheet!C9,"ДД.ММ.ГГГГ")</f>
        <v>10.07.1990</v>
      </c>
      <c r="D8" t="str">
        <f>[1]TDSheet!D9</f>
        <v>РОССИЯ</v>
      </c>
      <c r="E8" t="str">
        <f>[1]TDSheet!E9</f>
        <v>672705360335</v>
      </c>
      <c r="F8" t="str">
        <f>[1]TDSheet!F9</f>
        <v>140-045-533 04</v>
      </c>
      <c r="G8" t="str">
        <f>[1]TDSheet!G9</f>
        <v>Паспорт гражданина РФ</v>
      </c>
      <c r="H8" t="str">
        <f>[1]TDSheet!H9</f>
        <v>Серия</v>
      </c>
      <c r="I8" t="str">
        <f>[1]TDSheet!I9</f>
        <v>66 10</v>
      </c>
      <c r="J8" t="str">
        <f>[1]TDSheet!J9</f>
        <v>Номер</v>
      </c>
      <c r="K8" t="str">
        <f>[1]TDSheet!K9</f>
        <v>556509</v>
      </c>
      <c r="L8" t="str">
        <f>[1]TDSheet!L9</f>
        <v>Выдан</v>
      </c>
      <c r="M8" t="str">
        <f>TEXT([1]TDSheet!M9,"ДД.ММ.ГГГГ")</f>
        <v>19.07.2010</v>
      </c>
      <c r="N8" t="str">
        <f>[1]TDSheet!N9</f>
        <v>МО УФМС РОССИИ ПО СМОЛЕНСКОЙ ОБЛАСТИ В ГОРОДЕ ЯРЦЕВО</v>
      </c>
      <c r="O8" t="str">
        <f>[1]TDSheet!O9</f>
        <v>670-029</v>
      </c>
      <c r="P8" t="str">
        <f>[1]TDSheet!P9</f>
        <v>Серия 66 10 Номер 556509,Выдан 19.07.2010 МО УФМС РОССИИ ПО СМОЛЕНСКОЙ ОБЛАСТИ В ГОРОДЕ ЯРЦЕВО</v>
      </c>
      <c r="Q8" t="str">
        <f>[1]TDSheet!Q9</f>
        <v>РОССИЯ, 215805, Смоленская обл, Ярцевский р-н, Ярцево г, Автозаводская ул, дом № 30, квартира 48</v>
      </c>
      <c r="R8" t="str">
        <f>[1]TDSheet!R9</f>
        <v>РОССИЯ, 215805, Смоленская обл, Ярцевский р-н, Ярцево г, Автозаводская ул, дом № 30, квартира 48</v>
      </c>
      <c r="S8">
        <f>[1]TDSheet!S9</f>
        <v>0</v>
      </c>
      <c r="T8" t="str">
        <f>[1]TDSheet!T9</f>
        <v>00220</v>
      </c>
      <c r="U8">
        <f>[1]TDSheet!U9</f>
        <v>187</v>
      </c>
      <c r="V8" t="str">
        <f>[1]TDSheet!V9</f>
        <v>48-50</v>
      </c>
      <c r="W8">
        <f>[1]TDSheet!W9</f>
        <v>43</v>
      </c>
      <c r="X8">
        <f>[1]TDSheet!X9</f>
        <v>0</v>
      </c>
      <c r="Y8">
        <f>[1]TDSheet!Y9</f>
        <v>0</v>
      </c>
      <c r="Z8" t="str">
        <f>[1]TDSheet!Z9</f>
        <v>26.11.2021</v>
      </c>
      <c r="AA8" t="str">
        <f>[1]TDSheet!AA9</f>
        <v>26/11-1_2021</v>
      </c>
      <c r="AB8">
        <f>[1]TDSheet!AB9</f>
        <v>0</v>
      </c>
      <c r="AC8">
        <f>[1]TDSheet!AC9</f>
        <v>1</v>
      </c>
      <c r="AD8">
        <f>[1]TDSheet!AD9</f>
        <v>43950</v>
      </c>
      <c r="AE8">
        <f>[1]TDSheet!AE9</f>
        <v>1</v>
      </c>
      <c r="AF8">
        <f>[1]TDSheet!AF9</f>
        <v>44530</v>
      </c>
      <c r="AG8">
        <f>[1]TDSheet!AG9</f>
        <v>1</v>
      </c>
      <c r="AH8">
        <f>[1]TDSheet!AH9</f>
        <v>44539</v>
      </c>
      <c r="AI8" t="str">
        <f>[1]TDSheet!AI9</f>
        <v>3 группа</v>
      </c>
      <c r="AJ8">
        <f>[1]TDSheet!AJ9</f>
        <v>1</v>
      </c>
      <c r="AK8">
        <f>[1]TDSheet!AK9</f>
        <v>43949</v>
      </c>
      <c r="AL8" t="str">
        <f>[1]TDSheet!AL9</f>
        <v>не надо</v>
      </c>
      <c r="AM8" t="str">
        <f>[1]TDSheet!AM9</f>
        <v>не надо</v>
      </c>
      <c r="AN8">
        <f>[1]TDSheet!AN9</f>
        <v>44531</v>
      </c>
      <c r="AO8" t="str">
        <f>[1]TDSheet!AO9</f>
        <v>не надо</v>
      </c>
      <c r="AP8" t="str">
        <f>[1]TDSheet!AP9</f>
        <v>не надо</v>
      </c>
      <c r="AQ8">
        <f>[1]TDSheet!AQ9</f>
        <v>0</v>
      </c>
      <c r="AR8">
        <f>[1]TDSheet!AR9</f>
        <v>1</v>
      </c>
      <c r="AS8">
        <f>[1]TDSheet!AS9</f>
        <v>44461</v>
      </c>
      <c r="AT8">
        <f>[1]TDSheet!AT9</f>
        <v>1</v>
      </c>
      <c r="AU8" t="str">
        <f>[1]TDSheet!AU9</f>
        <v>Стропальщик 5 разряда, 30.12.2021</v>
      </c>
      <c r="AV8">
        <f>[1]TDSheet!AV9</f>
        <v>44525</v>
      </c>
      <c r="AW8">
        <f>[1]TDSheet!AW9</f>
        <v>0</v>
      </c>
      <c r="AX8">
        <f>[1]TDSheet!AX9</f>
        <v>44265</v>
      </c>
      <c r="AY8">
        <f>[1]TDSheet!AY9</f>
        <v>0</v>
      </c>
      <c r="AZ8">
        <f>[1]TDSheet!AZ9</f>
        <v>0</v>
      </c>
      <c r="BA8" t="str">
        <f>[1]TDSheet!BA9</f>
        <v>8-950-701-98-98</v>
      </c>
      <c r="BB8" t="str">
        <f>[1]TDSheet!BB9</f>
        <v>moj696@mail.ru</v>
      </c>
      <c r="BC8" t="str">
        <f>[1]TDSheet!BC9</f>
        <v>40817810759006478400</v>
      </c>
      <c r="BD8" t="str">
        <f>[1]TDSheet!BD9</f>
        <v>ПАО СБЕРБАНК</v>
      </c>
      <c r="BE8" t="str">
        <f>[1]TDSheet!BE9</f>
        <v>044525225</v>
      </c>
    </row>
    <row r="9" spans="1:57" x14ac:dyDescent="0.25">
      <c r="A9" t="str">
        <f>[1]TDSheet!A10</f>
        <v>Ефимчиков Максим Михайлович</v>
      </c>
      <c r="B9" t="str">
        <f>[1]TDSheet!B10</f>
        <v>Мастер</v>
      </c>
      <c r="C9" t="str">
        <f>TEXT([1]TDSheet!C10,"ДД.ММ.ГГГГ")</f>
        <v>09.06.1990</v>
      </c>
      <c r="D9" t="str">
        <f>[1]TDSheet!D10</f>
        <v>БЕЛАРУСЬ</v>
      </c>
      <c r="E9" t="str">
        <f>[1]TDSheet!E10</f>
        <v>770877289772</v>
      </c>
      <c r="F9" t="str">
        <f>[1]TDSheet!F10</f>
        <v>211-580-301 12</v>
      </c>
      <c r="G9" t="str">
        <f>[1]TDSheet!G10</f>
        <v>Иностранный паспорт</v>
      </c>
      <c r="H9" t="str">
        <f>[1]TDSheet!H10</f>
        <v>Серия</v>
      </c>
      <c r="I9" t="str">
        <f>[1]TDSheet!I10</f>
        <v xml:space="preserve">КВ </v>
      </c>
      <c r="J9" t="str">
        <f>[1]TDSheet!J10</f>
        <v>Номер</v>
      </c>
      <c r="K9" t="str">
        <f>[1]TDSheet!K10</f>
        <v>2101561</v>
      </c>
      <c r="L9" t="str">
        <f>[1]TDSheet!L10</f>
        <v>Выдан</v>
      </c>
      <c r="M9" t="str">
        <f>TEXT([1]TDSheet!M10,"ДД.ММ.ГГГГ")</f>
        <v>13.04.2015</v>
      </c>
      <c r="N9" t="str">
        <f>[1]TDSheet!N10</f>
        <v>ЧАУССКИЙ РОВД МОГИЛЕВСКОЙ ОБЛАСТИ</v>
      </c>
      <c r="O9">
        <f>[1]TDSheet!O10</f>
        <v>0</v>
      </c>
      <c r="P9" t="str">
        <f>[1]TDSheet!P10</f>
        <v>Серия КВ  Номер 2101561,Выдан 13.04.2015 ЧАУССКИЙ РОВД МОГИЛЕВСКОЙ ОБЛАСТИ</v>
      </c>
      <c r="Q9" t="str">
        <f>[1]TDSheet!Q10</f>
        <v>РОССИЯ, 107140, Москва г, проезд Комсомольской Площади, д. 16</v>
      </c>
      <c r="R9" t="str">
        <f>[1]TDSheet!R10</f>
        <v>РОССИЯ, 107140, Москва г, проезд Комсомольской Площади, д. 16</v>
      </c>
      <c r="S9">
        <f>[1]TDSheet!S10</f>
        <v>0</v>
      </c>
      <c r="T9" t="str">
        <f>[1]TDSheet!T10</f>
        <v>00168</v>
      </c>
      <c r="U9">
        <f>[1]TDSheet!U10</f>
        <v>178</v>
      </c>
      <c r="V9" t="str">
        <f>[1]TDSheet!V10</f>
        <v>48-50</v>
      </c>
      <c r="W9">
        <f>[1]TDSheet!W10</f>
        <v>43</v>
      </c>
      <c r="X9">
        <f>[1]TDSheet!X10</f>
        <v>0</v>
      </c>
      <c r="Y9">
        <f>[1]TDSheet!Y10</f>
        <v>0</v>
      </c>
      <c r="Z9" t="str">
        <f>[1]TDSheet!Z10</f>
        <v>12.07.2021</v>
      </c>
      <c r="AA9" t="str">
        <f>[1]TDSheet!AA10</f>
        <v>12/07-1_2021</v>
      </c>
      <c r="AB9">
        <f>[1]TDSheet!AB10</f>
        <v>0</v>
      </c>
      <c r="AC9">
        <f>[1]TDSheet!AC10</f>
        <v>1</v>
      </c>
      <c r="AD9">
        <f>[1]TDSheet!AD10</f>
        <v>44260</v>
      </c>
      <c r="AE9">
        <f>[1]TDSheet!AE10</f>
        <v>1</v>
      </c>
      <c r="AF9">
        <f>[1]TDSheet!AF10</f>
        <v>44530</v>
      </c>
      <c r="AG9">
        <f>[1]TDSheet!AG10</f>
        <v>1</v>
      </c>
      <c r="AH9">
        <f>[1]TDSheet!AH10</f>
        <v>44539</v>
      </c>
      <c r="AI9" t="str">
        <f>[1]TDSheet!AI10</f>
        <v>3 группа</v>
      </c>
      <c r="AJ9">
        <f>[1]TDSheet!AJ10</f>
        <v>1</v>
      </c>
      <c r="AK9">
        <f>[1]TDSheet!AK10</f>
        <v>44260</v>
      </c>
      <c r="AL9" t="str">
        <f>[1]TDSheet!AL10</f>
        <v>не надо</v>
      </c>
      <c r="AM9" t="str">
        <f>[1]TDSheet!AM10</f>
        <v>не надо</v>
      </c>
      <c r="AN9" t="str">
        <f>[1]TDSheet!AN10</f>
        <v>не надо</v>
      </c>
      <c r="AO9" t="str">
        <f>[1]TDSheet!AO10</f>
        <v>не надо</v>
      </c>
      <c r="AP9" t="str">
        <f>[1]TDSheet!AP10</f>
        <v>не надо</v>
      </c>
      <c r="AQ9" t="str">
        <f>[1]TDSheet!AQ10</f>
        <v>не надо</v>
      </c>
      <c r="AR9" t="str">
        <f>[1]TDSheet!AR10</f>
        <v>не надо</v>
      </c>
      <c r="AS9" t="str">
        <f>[1]TDSheet!AS10</f>
        <v>не надо</v>
      </c>
      <c r="AT9">
        <f>[1]TDSheet!AT10</f>
        <v>1</v>
      </c>
      <c r="AU9" t="str">
        <f>[1]TDSheet!AU10</f>
        <v>Стропальщик 5 разряда, 10.11.2021</v>
      </c>
      <c r="AV9">
        <f>[1]TDSheet!AV10</f>
        <v>44525</v>
      </c>
      <c r="AW9">
        <f>[1]TDSheet!AW10</f>
        <v>0</v>
      </c>
      <c r="AX9">
        <f>[1]TDSheet!AX10</f>
        <v>44265</v>
      </c>
      <c r="AY9">
        <f>[1]TDSheet!AY10</f>
        <v>0</v>
      </c>
      <c r="AZ9">
        <f>[1]TDSheet!AZ10</f>
        <v>0</v>
      </c>
      <c r="BA9" t="str">
        <f>[1]TDSheet!BA10</f>
        <v>8-977-749-28-49</v>
      </c>
      <c r="BB9" t="str">
        <f>[1]TDSheet!BB10</f>
        <v>maks.090690@mail.ru</v>
      </c>
      <c r="BC9" t="str">
        <f>[1]TDSheet!BC10</f>
        <v>40820810340010302793</v>
      </c>
      <c r="BD9" t="str">
        <f>[1]TDSheet!BD10</f>
        <v>ПАО СБЕРБАНК</v>
      </c>
      <c r="BE9" t="str">
        <f>[1]TDSheet!BE10</f>
        <v>044525225</v>
      </c>
    </row>
    <row r="10" spans="1:57" x14ac:dyDescent="0.25">
      <c r="A10" t="str">
        <f>[1]TDSheet!A11</f>
        <v>Жамилжанов Бахадир Жамилжан Ули</v>
      </c>
      <c r="B10" t="str">
        <f>[1]TDSheet!B11</f>
        <v>Подсобный рабочий</v>
      </c>
      <c r="C10" t="str">
        <f>TEXT([1]TDSheet!C11,"ДД.ММ.ГГГГ")</f>
        <v>11.07.2002</v>
      </c>
      <c r="D10" t="str">
        <f>[1]TDSheet!D11</f>
        <v>УЗБЕКИСТАН</v>
      </c>
      <c r="E10" t="str">
        <f>[1]TDSheet!E11</f>
        <v>772848017070</v>
      </c>
      <c r="F10" t="str">
        <f>[1]TDSheet!F11</f>
        <v>214-088-366 52</v>
      </c>
      <c r="G10" t="str">
        <f>[1]TDSheet!G11</f>
        <v>Иностранный паспорт</v>
      </c>
      <c r="H10" t="str">
        <f>[1]TDSheet!H11</f>
        <v>Серия</v>
      </c>
      <c r="I10" t="str">
        <f>[1]TDSheet!I11</f>
        <v>FK</v>
      </c>
      <c r="J10" t="str">
        <f>[1]TDSheet!J11</f>
        <v>Номер</v>
      </c>
      <c r="K10" t="str">
        <f>[1]TDSheet!K11</f>
        <v>0035801</v>
      </c>
      <c r="L10" t="str">
        <f>[1]TDSheet!L11</f>
        <v>Выдан</v>
      </c>
      <c r="M10" t="str">
        <f>TEXT([1]TDSheet!M11,"ДД.ММ.ГГГГ")</f>
        <v>25.09.2020</v>
      </c>
      <c r="N10" t="str">
        <f>[1]TDSheet!N11</f>
        <v>Каракалпакстан</v>
      </c>
      <c r="O10" t="str">
        <f>[1]TDSheet!O11</f>
        <v>MIA35401</v>
      </c>
      <c r="P10" t="str">
        <f>[1]TDSheet!P11</f>
        <v>Серия FK Номер 0035801,Выдан 25.09.2020 Каракалпакстан</v>
      </c>
      <c r="Q10" t="str">
        <f>[1]TDSheet!Q11</f>
        <v>РОССИЯ, 117485, Москва г, ул Академика Волгина, д. 2, к. 2, до 06.01.2022</v>
      </c>
      <c r="R10" t="str">
        <f>[1]TDSheet!R11</f>
        <v>РОССИЯ, 117485, Москва г, ул Академика Волгина, д. 2, к. 2, до 06.01.2022</v>
      </c>
      <c r="S10" t="str">
        <f>[1]TDSheet!S11</f>
        <v>Патент: Серия 77 номер 2105710876 10.11.2021 Отдел внешней трудовой миграции УВМ ГУ МВД России по Москве</v>
      </c>
      <c r="T10" t="str">
        <f>[1]TDSheet!T11</f>
        <v>00214</v>
      </c>
      <c r="U10">
        <f>[1]TDSheet!U11</f>
        <v>183</v>
      </c>
      <c r="V10" t="str">
        <f>[1]TDSheet!V11</f>
        <v>52-54</v>
      </c>
      <c r="W10">
        <f>[1]TDSheet!W11</f>
        <v>42</v>
      </c>
      <c r="X10">
        <f>[1]TDSheet!X11</f>
        <v>0</v>
      </c>
      <c r="Y10">
        <f>[1]TDSheet!Y11</f>
        <v>0</v>
      </c>
      <c r="Z10" t="str">
        <f>[1]TDSheet!Z11</f>
        <v>16.11.2021</v>
      </c>
      <c r="AA10" t="str">
        <f>[1]TDSheet!AA11</f>
        <v>16/11-1_2021</v>
      </c>
      <c r="AB10">
        <f>[1]TDSheet!AB11</f>
        <v>0</v>
      </c>
      <c r="AC10">
        <f>[1]TDSheet!AC11</f>
        <v>0</v>
      </c>
      <c r="AD10">
        <f>[1]TDSheet!AD11</f>
        <v>0</v>
      </c>
      <c r="AE10">
        <f>[1]TDSheet!AE11</f>
        <v>0</v>
      </c>
      <c r="AF10">
        <f>[1]TDSheet!AF11</f>
        <v>0</v>
      </c>
      <c r="AG10" t="str">
        <f>[1]TDSheet!AG11</f>
        <v>не надо</v>
      </c>
      <c r="AH10" t="str">
        <f>[1]TDSheet!AH11</f>
        <v>не надо</v>
      </c>
      <c r="AI10" t="str">
        <f>[1]TDSheet!AI11</f>
        <v>не надо</v>
      </c>
      <c r="AJ10">
        <f>[1]TDSheet!AJ11</f>
        <v>0</v>
      </c>
      <c r="AK10">
        <f>[1]TDSheet!AK11</f>
        <v>0</v>
      </c>
      <c r="AL10" t="str">
        <f>[1]TDSheet!AL11</f>
        <v>не надо</v>
      </c>
      <c r="AM10" t="str">
        <f>[1]TDSheet!AM11</f>
        <v>не надо</v>
      </c>
      <c r="AN10" t="str">
        <f>[1]TDSheet!AN11</f>
        <v>не надо</v>
      </c>
      <c r="AO10" t="str">
        <f>[1]TDSheet!AO11</f>
        <v>не надо</v>
      </c>
      <c r="AP10" t="str">
        <f>[1]TDSheet!AP11</f>
        <v>не надо</v>
      </c>
      <c r="AQ10" t="str">
        <f>[1]TDSheet!AQ11</f>
        <v>не надо</v>
      </c>
      <c r="AR10" t="str">
        <f>[1]TDSheet!AR11</f>
        <v>не надо</v>
      </c>
      <c r="AS10" t="str">
        <f>[1]TDSheet!AS11</f>
        <v>не надо</v>
      </c>
      <c r="AT10" t="str">
        <f>[1]TDSheet!AT11</f>
        <v>не надо</v>
      </c>
      <c r="AU10" t="str">
        <f>[1]TDSheet!AU11</f>
        <v>не надо</v>
      </c>
      <c r="AV10" t="str">
        <f>[1]TDSheet!AV11</f>
        <v>не надо</v>
      </c>
      <c r="AW10">
        <f>[1]TDSheet!AW11</f>
        <v>0</v>
      </c>
      <c r="AX10">
        <f>[1]TDSheet!AX11</f>
        <v>0</v>
      </c>
      <c r="AY10">
        <f>[1]TDSheet!AY11</f>
        <v>0</v>
      </c>
      <c r="AZ10">
        <f>[1]TDSheet!AZ11</f>
        <v>0</v>
      </c>
      <c r="BA10" t="str">
        <f>[1]TDSheet!BA11</f>
        <v>8 999 002 50 47</v>
      </c>
      <c r="BB10" t="str">
        <f>[1]TDSheet!BB11</f>
        <v>bahadirrr202@gmail.com</v>
      </c>
      <c r="BC10" t="str">
        <f>[1]TDSheet!BC11</f>
        <v>40820810838110174919</v>
      </c>
      <c r="BD10" t="str">
        <f>[1]TDSheet!BD11</f>
        <v>ПАО СБЕРБАНК</v>
      </c>
      <c r="BE10" t="str">
        <f>[1]TDSheet!BE11</f>
        <v>044525225</v>
      </c>
    </row>
    <row r="11" spans="1:57" x14ac:dyDescent="0.25">
      <c r="A11" t="str">
        <f>[1]TDSheet!A12</f>
        <v>Ибиев Габибулла Гаджимурадович</v>
      </c>
      <c r="B11" t="str">
        <f>[1]TDSheet!B12</f>
        <v>Кровельщик</v>
      </c>
      <c r="C11" t="str">
        <f>TEXT([1]TDSheet!C12,"ДД.ММ.ГГГГ")</f>
        <v>21.11.1994</v>
      </c>
      <c r="D11" t="str">
        <f>[1]TDSheet!D12</f>
        <v>РОССИЯ</v>
      </c>
      <c r="E11" t="str">
        <f>[1]TDSheet!E12</f>
        <v>053101964658</v>
      </c>
      <c r="F11" t="str">
        <f>[1]TDSheet!F12</f>
        <v>178-335-375 00</v>
      </c>
      <c r="G11" t="str">
        <f>[1]TDSheet!G12</f>
        <v>Паспорт гражданина РФ</v>
      </c>
      <c r="H11" t="str">
        <f>[1]TDSheet!H12</f>
        <v>Серия</v>
      </c>
      <c r="I11" t="str">
        <f>[1]TDSheet!I12</f>
        <v>82 14</v>
      </c>
      <c r="J11" t="str">
        <f>[1]TDSheet!J12</f>
        <v>Номер</v>
      </c>
      <c r="K11" t="str">
        <f>[1]TDSheet!K12</f>
        <v>596904</v>
      </c>
      <c r="L11" t="str">
        <f>[1]TDSheet!L12</f>
        <v>Выдан</v>
      </c>
      <c r="M11" t="str">
        <f>TEXT([1]TDSheet!M12,"ДД.ММ.ГГГГ")</f>
        <v>09.12.2014</v>
      </c>
      <c r="N11" t="str">
        <f>[1]TDSheet!N12</f>
        <v>ОУФМС России по Респ. Дагестан в Тарумовском районе</v>
      </c>
      <c r="O11" t="str">
        <f>[1]TDSheet!O12</f>
        <v>050-041</v>
      </c>
      <c r="P11" t="str">
        <f>[1]TDSheet!P12</f>
        <v>Серия 82 14 Номер 596904,Выдан 09.12.2014 ОУФМС России по Респ. Дагестан в Тарумовском районе</v>
      </c>
      <c r="Q11" t="str">
        <f>[1]TDSheet!Q12</f>
        <v>РОССИЯ, 368886, Дагестан респ, Тарумовский р-н, Карабаглы с, Школьная ул, дом 69</v>
      </c>
      <c r="R11" t="str">
        <f>[1]TDSheet!R12</f>
        <v>РОССИЯ, 368886, Дагестан респ, Тарумовский р-н, Карабаглы с, Школьная ул, дом 69</v>
      </c>
      <c r="S11">
        <f>[1]TDSheet!S12</f>
        <v>0</v>
      </c>
      <c r="T11" t="str">
        <f>[1]TDSheet!T12</f>
        <v>00203</v>
      </c>
      <c r="U11">
        <f>[1]TDSheet!U12</f>
        <v>176</v>
      </c>
      <c r="V11" t="str">
        <f>[1]TDSheet!V12</f>
        <v>48-50</v>
      </c>
      <c r="W11">
        <f>[1]TDSheet!W12</f>
        <v>42</v>
      </c>
      <c r="X11">
        <f>[1]TDSheet!X12</f>
        <v>0</v>
      </c>
      <c r="Y11">
        <f>[1]TDSheet!Y12</f>
        <v>0</v>
      </c>
      <c r="Z11" t="str">
        <f>[1]TDSheet!Z12</f>
        <v>11.10.2021</v>
      </c>
      <c r="AA11" t="str">
        <f>[1]TDSheet!AA12</f>
        <v>01-12/21-ТП-15</v>
      </c>
      <c r="AB11">
        <f>[1]TDSheet!AB12</f>
        <v>0</v>
      </c>
      <c r="AC11">
        <f>[1]TDSheet!AC12</f>
        <v>0</v>
      </c>
      <c r="AD11">
        <f>[1]TDSheet!AD12</f>
        <v>0</v>
      </c>
      <c r="AE11">
        <f>[1]TDSheet!AE12</f>
        <v>0</v>
      </c>
      <c r="AF11">
        <f>[1]TDSheet!AF12</f>
        <v>0</v>
      </c>
      <c r="AG11" t="str">
        <f>[1]TDSheet!AG12</f>
        <v>не надо</v>
      </c>
      <c r="AH11" t="str">
        <f>[1]TDSheet!AH12</f>
        <v>не надо</v>
      </c>
      <c r="AI11" t="str">
        <f>[1]TDSheet!AI12</f>
        <v>не надо</v>
      </c>
      <c r="AJ11">
        <f>[1]TDSheet!AJ12</f>
        <v>0</v>
      </c>
      <c r="AK11">
        <f>[1]TDSheet!AK12</f>
        <v>0</v>
      </c>
      <c r="AL11" t="str">
        <f>[1]TDSheet!AL12</f>
        <v>не надо</v>
      </c>
      <c r="AM11" t="str">
        <f>[1]TDSheet!AM12</f>
        <v>не надо</v>
      </c>
      <c r="AN11" t="str">
        <f>[1]TDSheet!AN12</f>
        <v>не надо</v>
      </c>
      <c r="AO11" t="str">
        <f>[1]TDSheet!AO12</f>
        <v>не надо</v>
      </c>
      <c r="AP11" t="str">
        <f>[1]TDSheet!AP12</f>
        <v>не надо</v>
      </c>
      <c r="AQ11" t="str">
        <f>[1]TDSheet!AQ12</f>
        <v>не надо</v>
      </c>
      <c r="AR11" t="str">
        <f>[1]TDSheet!AR12</f>
        <v>не надо</v>
      </c>
      <c r="AS11" t="str">
        <f>[1]TDSheet!AS12</f>
        <v>не надо</v>
      </c>
      <c r="AT11">
        <f>[1]TDSheet!AT12</f>
        <v>0</v>
      </c>
      <c r="AU11" t="str">
        <f>[1]TDSheet!AU12</f>
        <v>нет</v>
      </c>
      <c r="AV11">
        <f>[1]TDSheet!AV12</f>
        <v>0</v>
      </c>
      <c r="AW11">
        <f>[1]TDSheet!AW12</f>
        <v>0</v>
      </c>
      <c r="AX11">
        <f>[1]TDSheet!AX12</f>
        <v>44265</v>
      </c>
      <c r="AY11">
        <f>[1]TDSheet!AY12</f>
        <v>0</v>
      </c>
      <c r="AZ11">
        <f>[1]TDSheet!AZ12</f>
        <v>0</v>
      </c>
      <c r="BA11" t="str">
        <f>[1]TDSheet!BA12</f>
        <v>8-925-864-66-98</v>
      </c>
      <c r="BB11">
        <f>[1]TDSheet!BB12</f>
        <v>0</v>
      </c>
      <c r="BC11" t="str">
        <f>[1]TDSheet!BC12</f>
        <v>40817810428781559268</v>
      </c>
      <c r="BD11" t="str">
        <f>[1]TDSheet!BD12</f>
        <v>ПАО СБЕРБАНК</v>
      </c>
      <c r="BE11">
        <f>[1]TDSheet!BE12</f>
        <v>48702640</v>
      </c>
    </row>
    <row r="12" spans="1:57" x14ac:dyDescent="0.25">
      <c r="A12" t="str">
        <f>[1]TDSheet!A13</f>
        <v>Ибиев Идрис Рабаданович</v>
      </c>
      <c r="B12" t="str">
        <f>[1]TDSheet!B13</f>
        <v>Кровельщик</v>
      </c>
      <c r="C12" t="str">
        <f>TEXT([1]TDSheet!C13,"ДД.ММ.ГГГГ")</f>
        <v>19.08.1976</v>
      </c>
      <c r="D12" t="str">
        <f>[1]TDSheet!D13</f>
        <v>РОССИЯ</v>
      </c>
      <c r="E12" t="str">
        <f>[1]TDSheet!E13</f>
        <v>051103471566</v>
      </c>
      <c r="F12" t="str">
        <f>[1]TDSheet!F13</f>
        <v>134-384-122 43</v>
      </c>
      <c r="G12" t="str">
        <f>[1]TDSheet!G13</f>
        <v>Паспорт гражданина РФ</v>
      </c>
      <c r="H12" t="str">
        <f>[1]TDSheet!H13</f>
        <v>Серия</v>
      </c>
      <c r="I12" t="str">
        <f>[1]TDSheet!I13</f>
        <v>82 01</v>
      </c>
      <c r="J12" t="str">
        <f>[1]TDSheet!J13</f>
        <v>Номер</v>
      </c>
      <c r="K12" t="str">
        <f>[1]TDSheet!K13</f>
        <v>434562</v>
      </c>
      <c r="L12" t="str">
        <f>[1]TDSheet!L13</f>
        <v>Выдан</v>
      </c>
      <c r="M12" t="str">
        <f>TEXT([1]TDSheet!M13,"ДД.ММ.ГГГГ")</f>
        <v>27.11.2001</v>
      </c>
      <c r="N12" t="str">
        <f>[1]TDSheet!N13</f>
        <v>Отделом внутренних дел Дахадаевского района Республики Дагестан</v>
      </c>
      <c r="O12" t="str">
        <f>[1]TDSheet!O13</f>
        <v>052-021</v>
      </c>
      <c r="P12" t="str">
        <f>[1]TDSheet!P13</f>
        <v>Серия 82 01 Номер 434562,Выдан 27.11.2001 Отделом внутренних дел Дахадаевского района Республики Дагестан</v>
      </c>
      <c r="Q12" t="str">
        <f>[1]TDSheet!Q13</f>
        <v>РОССИЯ, 356834, Ставропольский край, Буденновский р-н, Орловка с, Школьная ул, домовладение № 2а</v>
      </c>
      <c r="R12" t="str">
        <f>[1]TDSheet!R13</f>
        <v>РОССИЯ, 356834, Ставропольский край, Буденновский р-н, Орловка с, Школьная ул, домовладение № 2а</v>
      </c>
      <c r="S12">
        <f>[1]TDSheet!S13</f>
        <v>0</v>
      </c>
      <c r="T12" t="str">
        <f>[1]TDSheet!T13</f>
        <v>00202</v>
      </c>
      <c r="U12">
        <f>[1]TDSheet!U13</f>
        <v>176</v>
      </c>
      <c r="V12" t="str">
        <f>[1]TDSheet!V13</f>
        <v>52-54</v>
      </c>
      <c r="W12">
        <f>[1]TDSheet!W13</f>
        <v>44</v>
      </c>
      <c r="X12">
        <f>[1]TDSheet!X13</f>
        <v>0</v>
      </c>
      <c r="Y12">
        <f>[1]TDSheet!Y13</f>
        <v>0</v>
      </c>
      <c r="Z12" t="str">
        <f>[1]TDSheet!Z13</f>
        <v>11.10.2021</v>
      </c>
      <c r="AA12" t="str">
        <f>[1]TDSheet!AA13</f>
        <v>01-12/21-ТП-13</v>
      </c>
      <c r="AB12">
        <f>[1]TDSheet!AB13</f>
        <v>0</v>
      </c>
      <c r="AC12">
        <f>[1]TDSheet!AC13</f>
        <v>0</v>
      </c>
      <c r="AD12">
        <f>[1]TDSheet!AD13</f>
        <v>0</v>
      </c>
      <c r="AE12">
        <f>[1]TDSheet!AE13</f>
        <v>0</v>
      </c>
      <c r="AF12">
        <f>[1]TDSheet!AF13</f>
        <v>0</v>
      </c>
      <c r="AG12">
        <f>[1]TDSheet!AG13</f>
        <v>1</v>
      </c>
      <c r="AH12">
        <f>[1]TDSheet!AH13</f>
        <v>44539</v>
      </c>
      <c r="AI12" t="str">
        <f>[1]TDSheet!AI13</f>
        <v>1 группа</v>
      </c>
      <c r="AJ12">
        <f>[1]TDSheet!AJ13</f>
        <v>0</v>
      </c>
      <c r="AK12">
        <f>[1]TDSheet!AK13</f>
        <v>0</v>
      </c>
      <c r="AL12" t="str">
        <f>[1]TDSheet!AL13</f>
        <v>не надо</v>
      </c>
      <c r="AM12" t="str">
        <f>[1]TDSheet!AM13</f>
        <v>не надо</v>
      </c>
      <c r="AN12" t="str">
        <f>[1]TDSheet!AN13</f>
        <v>не надо</v>
      </c>
      <c r="AO12" t="str">
        <f>[1]TDSheet!AO13</f>
        <v>не надо</v>
      </c>
      <c r="AP12" t="str">
        <f>[1]TDSheet!AP13</f>
        <v>не надо</v>
      </c>
      <c r="AQ12" t="str">
        <f>[1]TDSheet!AQ13</f>
        <v>не надо</v>
      </c>
      <c r="AR12" t="str">
        <f>[1]TDSheet!AR13</f>
        <v>не надо</v>
      </c>
      <c r="AS12" t="str">
        <f>[1]TDSheet!AS13</f>
        <v>не надо</v>
      </c>
      <c r="AT12">
        <f>[1]TDSheet!AT13</f>
        <v>1</v>
      </c>
      <c r="AU12" t="str">
        <f>[1]TDSheet!AU13</f>
        <v>Кровельщик 5 разряда, протокол от 23.09.2019 №342 ЭК</v>
      </c>
      <c r="AV12">
        <f>[1]TDSheet!AV13</f>
        <v>0</v>
      </c>
      <c r="AW12" t="str">
        <f>[1]TDSheet!AW13</f>
        <v>Кровельщик 5 разряда, протокол от 23.09.2019 №342 ЭК</v>
      </c>
      <c r="AX12">
        <f>[1]TDSheet!AX13</f>
        <v>44265</v>
      </c>
      <c r="AY12">
        <f>[1]TDSheet!AY13</f>
        <v>0</v>
      </c>
      <c r="AZ12">
        <f>[1]TDSheet!AZ13</f>
        <v>0</v>
      </c>
      <c r="BA12" t="str">
        <f>[1]TDSheet!BA13</f>
        <v>8-989-992-31-27</v>
      </c>
      <c r="BB12" t="str">
        <f>[1]TDSheet!BB13</f>
        <v>idrisibiv1@gmail.com</v>
      </c>
      <c r="BC12" t="str">
        <f>[1]TDSheet!BC13</f>
        <v>40817810340010541130</v>
      </c>
      <c r="BD12" t="str">
        <f>[1]TDSheet!BD13</f>
        <v>ПАО СБЕРБАНК</v>
      </c>
      <c r="BE12" t="str">
        <f>[1]TDSheet!BE13</f>
        <v>044525225</v>
      </c>
    </row>
    <row r="13" spans="1:57" x14ac:dyDescent="0.25">
      <c r="A13" t="str">
        <f>[1]TDSheet!A14</f>
        <v>Ибиев Навруз Исмуллаевич</v>
      </c>
      <c r="B13" t="str">
        <f>[1]TDSheet!B14</f>
        <v>Кровельщик</v>
      </c>
      <c r="C13" t="str">
        <f>TEXT([1]TDSheet!C14,"ДД.ММ.ГГГГ")</f>
        <v>21.09.1988</v>
      </c>
      <c r="D13" t="str">
        <f>[1]TDSheet!D14</f>
        <v>РОССИЯ</v>
      </c>
      <c r="E13" t="str">
        <f>[1]TDSheet!E14</f>
        <v>261406982699</v>
      </c>
      <c r="F13" t="str">
        <f>[1]TDSheet!F14</f>
        <v>153-517-253 51</v>
      </c>
      <c r="G13" t="str">
        <f>[1]TDSheet!G14</f>
        <v>Паспорт гражданина РФ</v>
      </c>
      <c r="H13" t="str">
        <f>[1]TDSheet!H14</f>
        <v>Серия</v>
      </c>
      <c r="I13" t="str">
        <f>[1]TDSheet!I14</f>
        <v>07 08</v>
      </c>
      <c r="J13" t="str">
        <f>[1]TDSheet!J14</f>
        <v>Номер</v>
      </c>
      <c r="K13" t="str">
        <f>[1]TDSheet!K14</f>
        <v>113096</v>
      </c>
      <c r="L13" t="str">
        <f>[1]TDSheet!L14</f>
        <v>Выдан</v>
      </c>
      <c r="M13" t="str">
        <f>TEXT([1]TDSheet!M14,"ДД.ММ.ГГГГ")</f>
        <v>02.10.2008</v>
      </c>
      <c r="N13" t="str">
        <f>[1]TDSheet!N14</f>
        <v>ОУФМС РОССИИ ПО СТАВРОПОЛЬСКОМУ КРАЮ В НЕФТЕКУМСКОМ РАЙОНЕ</v>
      </c>
      <c r="O13" t="str">
        <f>[1]TDSheet!O14</f>
        <v>260-023</v>
      </c>
      <c r="P13" t="str">
        <f>[1]TDSheet!P14</f>
        <v>Серия 07 08 Номер 113096,Выдан 02.10.2008 ОУФМС РОССИИ ПО СТАВРОПОЛЬСКОМУ КРАЮ В НЕФТЕКУМСКОМ РАЙОНЕ</v>
      </c>
      <c r="Q13" t="str">
        <f>[1]TDSheet!Q14</f>
        <v>РОССИЯ, 356874, Ставропольский край, Нефтекумский р-н, Зункарь п, Северная ул, дом 5</v>
      </c>
      <c r="R13" t="str">
        <f>[1]TDSheet!R14</f>
        <v>РОССИЯ, 356874, Ставропольский край, Нефтекумский р-н, Зункарь п, Северная ул, дом 5</v>
      </c>
      <c r="S13">
        <f>[1]TDSheet!S14</f>
        <v>0</v>
      </c>
      <c r="T13" t="str">
        <f>[1]TDSheet!T14</f>
        <v>00201</v>
      </c>
      <c r="U13">
        <f>[1]TDSheet!U14</f>
        <v>173</v>
      </c>
      <c r="V13" t="str">
        <f>[1]TDSheet!V14</f>
        <v>52-54</v>
      </c>
      <c r="W13">
        <f>[1]TDSheet!W14</f>
        <v>43</v>
      </c>
      <c r="X13">
        <f>[1]TDSheet!X14</f>
        <v>0</v>
      </c>
      <c r="Y13">
        <f>[1]TDSheet!Y14</f>
        <v>0</v>
      </c>
      <c r="Z13" t="str">
        <f>[1]TDSheet!Z14</f>
        <v>11.10.2021</v>
      </c>
      <c r="AA13" t="str">
        <f>[1]TDSheet!AA14</f>
        <v>01-12/21-ТП-14</v>
      </c>
      <c r="AB13">
        <f>[1]TDSheet!AB14</f>
        <v>0</v>
      </c>
      <c r="AC13">
        <f>[1]TDSheet!AC14</f>
        <v>1</v>
      </c>
      <c r="AD13">
        <f>[1]TDSheet!AD14</f>
        <v>44471</v>
      </c>
      <c r="AE13">
        <f>[1]TDSheet!AE14</f>
        <v>0</v>
      </c>
      <c r="AF13">
        <f>[1]TDSheet!AF14</f>
        <v>0</v>
      </c>
      <c r="AG13" t="str">
        <f>[1]TDSheet!AG14</f>
        <v>не надо</v>
      </c>
      <c r="AH13" t="str">
        <f>[1]TDSheet!AH14</f>
        <v>не надо</v>
      </c>
      <c r="AI13" t="str">
        <f>[1]TDSheet!AI14</f>
        <v>не надо</v>
      </c>
      <c r="AJ13">
        <f>[1]TDSheet!AJ14</f>
        <v>0</v>
      </c>
      <c r="AK13">
        <f>[1]TDSheet!AK14</f>
        <v>0</v>
      </c>
      <c r="AL13" t="str">
        <f>[1]TDSheet!AL14</f>
        <v>не надо</v>
      </c>
      <c r="AM13" t="str">
        <f>[1]TDSheet!AM14</f>
        <v>не надо</v>
      </c>
      <c r="AN13" t="str">
        <f>[1]TDSheet!AN14</f>
        <v>не надо</v>
      </c>
      <c r="AO13" t="str">
        <f>[1]TDSheet!AO14</f>
        <v>не надо</v>
      </c>
      <c r="AP13" t="str">
        <f>[1]TDSheet!AP14</f>
        <v>не надо</v>
      </c>
      <c r="AQ13" t="str">
        <f>[1]TDSheet!AQ14</f>
        <v>не надо</v>
      </c>
      <c r="AR13" t="str">
        <f>[1]TDSheet!AR14</f>
        <v>не надо</v>
      </c>
      <c r="AS13" t="str">
        <f>[1]TDSheet!AS14</f>
        <v>не надо</v>
      </c>
      <c r="AT13">
        <f>[1]TDSheet!AT14</f>
        <v>0</v>
      </c>
      <c r="AU13" t="str">
        <f>[1]TDSheet!AU14</f>
        <v>нет</v>
      </c>
      <c r="AV13">
        <f>[1]TDSheet!AV14</f>
        <v>0</v>
      </c>
      <c r="AW13">
        <f>[1]TDSheet!AW14</f>
        <v>0</v>
      </c>
      <c r="AX13">
        <f>[1]TDSheet!AX14</f>
        <v>0</v>
      </c>
      <c r="AY13">
        <f>[1]TDSheet!AY14</f>
        <v>0</v>
      </c>
      <c r="AZ13">
        <f>[1]TDSheet!AZ14</f>
        <v>0</v>
      </c>
      <c r="BA13" t="str">
        <f>[1]TDSheet!BA14</f>
        <v>8-918-727-02-98</v>
      </c>
      <c r="BB13">
        <f>[1]TDSheet!BB14</f>
        <v>0</v>
      </c>
      <c r="BC13" t="str">
        <f>[1]TDSheet!BC14</f>
        <v>40817810340015529940</v>
      </c>
      <c r="BD13" t="str">
        <f>[1]TDSheet!BD14</f>
        <v>ПАО СБЕРБАНК</v>
      </c>
      <c r="BE13" t="str">
        <f>[1]TDSheet!BE14</f>
        <v>044525225</v>
      </c>
    </row>
    <row r="14" spans="1:57" x14ac:dyDescent="0.25">
      <c r="A14" t="str">
        <f>[1]TDSheet!A15</f>
        <v>Клюева Дарья Анатольевна</v>
      </c>
      <c r="B14" t="str">
        <f>[1]TDSheet!B15</f>
        <v xml:space="preserve">менеджер по персоналу </v>
      </c>
      <c r="C14" t="str">
        <f>TEXT([1]TDSheet!C15,"ДД.ММ.ГГГГ")</f>
        <v>07.05.1999</v>
      </c>
      <c r="D14" t="str">
        <f>[1]TDSheet!D15</f>
        <v>РОССИЯ</v>
      </c>
      <c r="E14" t="str">
        <f>[1]TDSheet!E15</f>
        <v>772347344527</v>
      </c>
      <c r="F14" t="str">
        <f>[1]TDSheet!F15</f>
        <v>184-290-748 94</v>
      </c>
      <c r="G14" t="str">
        <f>[1]TDSheet!G15</f>
        <v>Паспорт гражданина РФ</v>
      </c>
      <c r="H14" t="str">
        <f>[1]TDSheet!H15</f>
        <v>Серия</v>
      </c>
      <c r="I14" t="str">
        <f>[1]TDSheet!I15</f>
        <v>46 19</v>
      </c>
      <c r="J14" t="str">
        <f>[1]TDSheet!J15</f>
        <v>Номер</v>
      </c>
      <c r="K14" t="str">
        <f>[1]TDSheet!K15</f>
        <v>408852</v>
      </c>
      <c r="L14" t="str">
        <f>[1]TDSheet!L15</f>
        <v>Выдан</v>
      </c>
      <c r="M14" t="str">
        <f>TEXT([1]TDSheet!M15,"ДД.ММ.ГГГГ")</f>
        <v>11.06.2019</v>
      </c>
      <c r="N14" t="str">
        <f>[1]TDSheet!N15</f>
        <v xml:space="preserve">ГУ МВД РОССИИ ПО МОСКОВСКОЙ ОБЛАСТИ </v>
      </c>
      <c r="O14" t="str">
        <f>[1]TDSheet!O15</f>
        <v>500-095</v>
      </c>
      <c r="P14" t="str">
        <f>[1]TDSheet!P15</f>
        <v xml:space="preserve">Серия 46 19 Номер 408852,Выдан 11.06.2019 ГУ МВД РОССИИ ПО МОСКОВСКОЙ ОБЛАСТИ </v>
      </c>
      <c r="Q14" t="str">
        <f>[1]TDSheet!Q15</f>
        <v>РОССИЯ, 109263, Москва г, ул Артюхиной, д. 29/7, кв. 6</v>
      </c>
      <c r="R14" t="str">
        <f>[1]TDSheet!R15</f>
        <v>РОССИЯ, 109263, Москва г, ул Артюхиной, д. 29/7, кв. 6</v>
      </c>
      <c r="S14">
        <f>[1]TDSheet!S15</f>
        <v>0</v>
      </c>
      <c r="T14" t="str">
        <f>[1]TDSheet!T15</f>
        <v>00183</v>
      </c>
      <c r="U14">
        <f>[1]TDSheet!U15</f>
        <v>0</v>
      </c>
      <c r="V14">
        <f>[1]TDSheet!V15</f>
        <v>0</v>
      </c>
      <c r="W14">
        <f>[1]TDSheet!W15</f>
        <v>0</v>
      </c>
      <c r="X14">
        <f>[1]TDSheet!X15</f>
        <v>0</v>
      </c>
      <c r="Y14">
        <f>[1]TDSheet!Y15</f>
        <v>0</v>
      </c>
      <c r="Z14" t="str">
        <f>[1]TDSheet!Z15</f>
        <v>26.08.2021</v>
      </c>
      <c r="AA14" t="str">
        <f>[1]TDSheet!AA15</f>
        <v>26/08_2021</v>
      </c>
      <c r="AB14">
        <f>[1]TDSheet!AB15</f>
        <v>0</v>
      </c>
      <c r="AC14">
        <f>[1]TDSheet!AC15</f>
        <v>0</v>
      </c>
      <c r="AD14">
        <f>[1]TDSheet!AD15</f>
        <v>0</v>
      </c>
      <c r="AE14">
        <f>[1]TDSheet!AE15</f>
        <v>0</v>
      </c>
      <c r="AF14">
        <f>[1]TDSheet!AF15</f>
        <v>0</v>
      </c>
      <c r="AG14">
        <f>[1]TDSheet!AG15</f>
        <v>0</v>
      </c>
      <c r="AH14">
        <f>[1]TDSheet!AH15</f>
        <v>0</v>
      </c>
      <c r="AI14">
        <f>[1]TDSheet!AI15</f>
        <v>0</v>
      </c>
      <c r="AJ14">
        <f>[1]TDSheet!AJ15</f>
        <v>0</v>
      </c>
      <c r="AK14">
        <f>[1]TDSheet!AK15</f>
        <v>0</v>
      </c>
      <c r="AL14">
        <f>[1]TDSheet!AL15</f>
        <v>0</v>
      </c>
      <c r="AM14">
        <f>[1]TDSheet!AM15</f>
        <v>0</v>
      </c>
      <c r="AN14">
        <f>[1]TDSheet!AN15</f>
        <v>0</v>
      </c>
      <c r="AO14">
        <f>[1]TDSheet!AO15</f>
        <v>0</v>
      </c>
      <c r="AP14">
        <f>[1]TDSheet!AP15</f>
        <v>0</v>
      </c>
      <c r="AQ14">
        <f>[1]TDSheet!AQ15</f>
        <v>0</v>
      </c>
      <c r="AR14">
        <f>[1]TDSheet!AR15</f>
        <v>0</v>
      </c>
      <c r="AS14">
        <f>[1]TDSheet!AS15</f>
        <v>0</v>
      </c>
      <c r="AT14">
        <f>[1]TDSheet!AT15</f>
        <v>0</v>
      </c>
      <c r="AU14">
        <f>[1]TDSheet!AU15</f>
        <v>0</v>
      </c>
      <c r="AV14">
        <f>[1]TDSheet!AV15</f>
        <v>0</v>
      </c>
      <c r="AW14">
        <f>[1]TDSheet!AW15</f>
        <v>0</v>
      </c>
      <c r="AX14">
        <f>[1]TDSheet!AX15</f>
        <v>0</v>
      </c>
      <c r="AY14">
        <f>[1]TDSheet!AY15</f>
        <v>0</v>
      </c>
      <c r="AZ14">
        <f>[1]TDSheet!AZ15</f>
        <v>0</v>
      </c>
      <c r="BA14" t="str">
        <f>[1]TDSheet!BA15</f>
        <v>8-963-617-41-09</v>
      </c>
      <c r="BB14" t="str">
        <f>[1]TDSheet!BB15</f>
        <v>dashakljv@mail.ru</v>
      </c>
      <c r="BC14" t="str">
        <f>[1]TDSheet!BC15</f>
        <v>40817810538260451730</v>
      </c>
      <c r="BD14" t="str">
        <f>[1]TDSheet!BD15</f>
        <v>ПАО СБЕРБАНК</v>
      </c>
      <c r="BE14" t="str">
        <f>[1]TDSheet!BE15</f>
        <v>044525225</v>
      </c>
    </row>
    <row r="15" spans="1:57" x14ac:dyDescent="0.25">
      <c r="A15" t="str">
        <f>[1]TDSheet!A16</f>
        <v>Кузьмина Татьяна Вячеславовна</v>
      </c>
      <c r="B15" t="str">
        <f>[1]TDSheet!B16</f>
        <v>Комендант</v>
      </c>
      <c r="C15" t="str">
        <f>TEXT([1]TDSheet!C16,"ДД.ММ.ГГГГ")</f>
        <v>04.05.1969</v>
      </c>
      <c r="D15" t="str">
        <f>[1]TDSheet!D16</f>
        <v>РОССИЯ</v>
      </c>
      <c r="E15" t="str">
        <f>[1]TDSheet!E16</f>
        <v>672300061506</v>
      </c>
      <c r="F15" t="str">
        <f>[1]TDSheet!F16</f>
        <v>051-448-847 61</v>
      </c>
      <c r="G15" t="str">
        <f>[1]TDSheet!G16</f>
        <v>Паспорт гражданина РФ</v>
      </c>
      <c r="H15" t="str">
        <f>[1]TDSheet!H16</f>
        <v>Серия</v>
      </c>
      <c r="I15" t="str">
        <f>[1]TDSheet!I16</f>
        <v>46 21</v>
      </c>
      <c r="J15" t="str">
        <f>[1]TDSheet!J16</f>
        <v>Номер</v>
      </c>
      <c r="K15" t="str">
        <f>[1]TDSheet!K16</f>
        <v> 403980 </v>
      </c>
      <c r="L15" t="str">
        <f>[1]TDSheet!L16</f>
        <v>Выдан</v>
      </c>
      <c r="M15" t="str">
        <f>TEXT([1]TDSheet!M16,"ДД.ММ.ГГГГ")</f>
        <v>27.11.2021</v>
      </c>
      <c r="N15" t="str">
        <f>[1]TDSheet!N16</f>
        <v>ГУ МВД России по Московской области</v>
      </c>
      <c r="O15" t="str">
        <f>[1]TDSheet!O16</f>
        <v>500-095</v>
      </c>
      <c r="P15" t="str">
        <f>[1]TDSheet!P16</f>
        <v>Серия 46 21 Номер  403980 ,Выдан 27.11.2021 ГУ МВД России по Московской области</v>
      </c>
      <c r="Q15" t="str">
        <f>[1]TDSheet!Q16</f>
        <v>РОССИЯ, 143007, Московская обл, г Одинцово, ул Вокзальная, д. 9, кв. 172</v>
      </c>
      <c r="R15" t="str">
        <f>[1]TDSheet!R16</f>
        <v>РОССИЯ, 143007, Московская обл, г Одинцово, ул Вокзальная, д. 9, кв. 172</v>
      </c>
      <c r="S15">
        <f>[1]TDSheet!S16</f>
        <v>0</v>
      </c>
      <c r="T15" t="str">
        <f>[1]TDSheet!T16</f>
        <v>00207</v>
      </c>
      <c r="U15">
        <f>[1]TDSheet!U16</f>
        <v>0</v>
      </c>
      <c r="V15">
        <f>[1]TDSheet!V16</f>
        <v>0</v>
      </c>
      <c r="W15">
        <f>[1]TDSheet!W16</f>
        <v>0</v>
      </c>
      <c r="X15">
        <f>[1]TDSheet!X16</f>
        <v>0</v>
      </c>
      <c r="Y15">
        <f>[1]TDSheet!Y16</f>
        <v>0</v>
      </c>
      <c r="Z15" t="str">
        <f>[1]TDSheet!Z16</f>
        <v>19.10.2021</v>
      </c>
      <c r="AA15" t="str">
        <f>[1]TDSheet!AA16</f>
        <v>19/10-2_2021</v>
      </c>
      <c r="AB15">
        <f>[1]TDSheet!AB16</f>
        <v>0</v>
      </c>
      <c r="AC15">
        <f>[1]TDSheet!AC16</f>
        <v>0</v>
      </c>
      <c r="AD15">
        <f>[1]TDSheet!AD16</f>
        <v>0</v>
      </c>
      <c r="AE15">
        <f>[1]TDSheet!AE16</f>
        <v>0</v>
      </c>
      <c r="AF15">
        <f>[1]TDSheet!AF16</f>
        <v>0</v>
      </c>
      <c r="AG15">
        <f>[1]TDSheet!AG16</f>
        <v>0</v>
      </c>
      <c r="AH15">
        <f>[1]TDSheet!AH16</f>
        <v>0</v>
      </c>
      <c r="AI15">
        <f>[1]TDSheet!AI16</f>
        <v>0</v>
      </c>
      <c r="AJ15">
        <f>[1]TDSheet!AJ16</f>
        <v>0</v>
      </c>
      <c r="AK15">
        <f>[1]TDSheet!AK16</f>
        <v>0</v>
      </c>
      <c r="AL15">
        <f>[1]TDSheet!AL16</f>
        <v>0</v>
      </c>
      <c r="AM15">
        <f>[1]TDSheet!AM16</f>
        <v>0</v>
      </c>
      <c r="AN15">
        <f>[1]TDSheet!AN16</f>
        <v>0</v>
      </c>
      <c r="AO15">
        <f>[1]TDSheet!AO16</f>
        <v>0</v>
      </c>
      <c r="AP15">
        <f>[1]TDSheet!AP16</f>
        <v>0</v>
      </c>
      <c r="AQ15">
        <f>[1]TDSheet!AQ16</f>
        <v>0</v>
      </c>
      <c r="AR15">
        <f>[1]TDSheet!AR16</f>
        <v>0</v>
      </c>
      <c r="AS15">
        <f>[1]TDSheet!AS16</f>
        <v>0</v>
      </c>
      <c r="AT15">
        <f>[1]TDSheet!AT16</f>
        <v>0</v>
      </c>
      <c r="AU15">
        <f>[1]TDSheet!AU16</f>
        <v>0</v>
      </c>
      <c r="AV15">
        <f>[1]TDSheet!AV16</f>
        <v>0</v>
      </c>
      <c r="AW15">
        <f>[1]TDSheet!AW16</f>
        <v>0</v>
      </c>
      <c r="AX15">
        <f>[1]TDSheet!AX16</f>
        <v>0</v>
      </c>
      <c r="AY15">
        <f>[1]TDSheet!AY16</f>
        <v>0</v>
      </c>
      <c r="AZ15">
        <f>[1]TDSheet!AZ16</f>
        <v>0</v>
      </c>
      <c r="BA15" t="str">
        <f>[1]TDSheet!BA16</f>
        <v>8-906-090-78-49</v>
      </c>
      <c r="BB15">
        <f>[1]TDSheet!BB16</f>
        <v>0</v>
      </c>
      <c r="BC15" t="str">
        <f>[1]TDSheet!BC16</f>
        <v>40817810440005596362</v>
      </c>
      <c r="BD15" t="str">
        <f>[1]TDSheet!BD16</f>
        <v>ПАО СБЕРБАНК</v>
      </c>
      <c r="BE15" t="str">
        <f>[1]TDSheet!BE16</f>
        <v>044525225</v>
      </c>
    </row>
    <row r="16" spans="1:57" x14ac:dyDescent="0.25">
      <c r="A16" t="str">
        <f>[1]TDSheet!A17</f>
        <v>Лапицкий Андрей Михайлович</v>
      </c>
      <c r="B16" t="str">
        <f>[1]TDSheet!B17</f>
        <v>Главный инженер</v>
      </c>
      <c r="C16" t="str">
        <f>TEXT([1]TDSheet!C17,"ДД.ММ.ГГГГ")</f>
        <v>19.12.1986</v>
      </c>
      <c r="D16" t="str">
        <f>[1]TDSheet!D17</f>
        <v>БЕЛАРУСЬ</v>
      </c>
      <c r="E16" t="str">
        <f>[1]TDSheet!E17</f>
        <v>772423162803</v>
      </c>
      <c r="F16" t="str">
        <f>[1]TDSheet!F17</f>
        <v>170-987-963 27</v>
      </c>
      <c r="G16" t="str">
        <f>[1]TDSheet!G17</f>
        <v>Иностранный паспорт</v>
      </c>
      <c r="H16" t="str">
        <f>[1]TDSheet!H17</f>
        <v>Серия</v>
      </c>
      <c r="I16" t="str">
        <f>[1]TDSheet!I17</f>
        <v xml:space="preserve">КВ </v>
      </c>
      <c r="J16" t="str">
        <f>[1]TDSheet!J17</f>
        <v>Номер</v>
      </c>
      <c r="K16" t="str">
        <f>[1]TDSheet!K17</f>
        <v>1798884</v>
      </c>
      <c r="L16" t="str">
        <f>[1]TDSheet!L17</f>
        <v>Выдан</v>
      </c>
      <c r="M16" t="str">
        <f>TEXT([1]TDSheet!M17,"ДД.ММ.ГГГГ")</f>
        <v>10.11.2011</v>
      </c>
      <c r="N16" t="str">
        <f>[1]TDSheet!N17</f>
        <v>Ленинский РОВД г. Могилева</v>
      </c>
      <c r="O16">
        <f>[1]TDSheet!O17</f>
        <v>0</v>
      </c>
      <c r="P16" t="str">
        <f>[1]TDSheet!P17</f>
        <v>Серия КВ  Номер 1798884,Выдан 10.11.2011 Ленинский РОВД г. Могилева</v>
      </c>
      <c r="Q16" t="str">
        <f>[1]TDSheet!Q17</f>
        <v>143022, Московская обл, Одинцовский р-н, Летний Отдых п, Звенигородское ш, дом № 3, строение 1, кв.1</v>
      </c>
      <c r="R16" t="str">
        <f>[1]TDSheet!R17</f>
        <v>143022, Московская обл, Одинцовский р-н, Летний Отдых п, Звенигородское ш, дом № 3, строение 1, кв.1</v>
      </c>
      <c r="S16">
        <f>[1]TDSheet!S17</f>
        <v>0</v>
      </c>
      <c r="T16" t="str">
        <f>[1]TDSheet!T17</f>
        <v>0000000031</v>
      </c>
      <c r="U16">
        <f>[1]TDSheet!U17</f>
        <v>180</v>
      </c>
      <c r="V16" t="str">
        <f>[1]TDSheet!V17</f>
        <v>50-52</v>
      </c>
      <c r="W16">
        <f>[1]TDSheet!W17</f>
        <v>43</v>
      </c>
      <c r="X16">
        <f>[1]TDSheet!X17</f>
        <v>0</v>
      </c>
      <c r="Y16">
        <f>[1]TDSheet!Y17</f>
        <v>0</v>
      </c>
      <c r="Z16" t="str">
        <f>[1]TDSheet!Z17</f>
        <v>11.07.2016</v>
      </c>
      <c r="AA16" t="str">
        <f>[1]TDSheet!AA17</f>
        <v>ТХ-9</v>
      </c>
      <c r="AB16">
        <f>[1]TDSheet!AB17</f>
        <v>0</v>
      </c>
      <c r="AC16">
        <f>[1]TDSheet!AC17</f>
        <v>1</v>
      </c>
      <c r="AD16">
        <f>[1]TDSheet!AD17</f>
        <v>44518</v>
      </c>
      <c r="AE16">
        <f>[1]TDSheet!AE17</f>
        <v>1</v>
      </c>
      <c r="AF16">
        <f>[1]TDSheet!AF17</f>
        <v>44431</v>
      </c>
      <c r="AG16">
        <f>[1]TDSheet!AG17</f>
        <v>1</v>
      </c>
      <c r="AH16">
        <f>[1]TDSheet!AH17</f>
        <v>44539</v>
      </c>
      <c r="AI16" t="str">
        <f>[1]TDSheet!AI17</f>
        <v>2 группа</v>
      </c>
      <c r="AJ16">
        <f>[1]TDSheet!AJ17</f>
        <v>1</v>
      </c>
      <c r="AK16">
        <f>[1]TDSheet!AK17</f>
        <v>44529</v>
      </c>
      <c r="AL16">
        <f>[1]TDSheet!AL17</f>
        <v>44510</v>
      </c>
      <c r="AM16">
        <f>[1]TDSheet!AM17</f>
        <v>44553</v>
      </c>
      <c r="AN16" t="str">
        <f>[1]TDSheet!AN17</f>
        <v>не надо</v>
      </c>
      <c r="AO16">
        <f>[1]TDSheet!AO17</f>
        <v>1</v>
      </c>
      <c r="AP16">
        <f>[1]TDSheet!AP17</f>
        <v>44238</v>
      </c>
      <c r="AQ16">
        <f>[1]TDSheet!AQ17</f>
        <v>0</v>
      </c>
      <c r="AR16">
        <f>[1]TDSheet!AR17</f>
        <v>1</v>
      </c>
      <c r="AS16">
        <f>[1]TDSheet!AS17</f>
        <v>44461</v>
      </c>
      <c r="AT16" t="str">
        <f>[1]TDSheet!AT17</f>
        <v>не надо</v>
      </c>
      <c r="AU16" t="str">
        <f>[1]TDSheet!AU17</f>
        <v>не надо</v>
      </c>
      <c r="AV16" t="str">
        <f>[1]TDSheet!AV17</f>
        <v>не надо</v>
      </c>
      <c r="AW16">
        <f>[1]TDSheet!AW17</f>
        <v>0</v>
      </c>
      <c r="AX16">
        <f>[1]TDSheet!AX17</f>
        <v>44241</v>
      </c>
      <c r="AY16">
        <f>[1]TDSheet!AY17</f>
        <v>0</v>
      </c>
      <c r="AZ16">
        <f>[1]TDSheet!AZ17</f>
        <v>0</v>
      </c>
      <c r="BA16" t="str">
        <f>[1]TDSheet!BA17</f>
        <v>8-916-578-50-05</v>
      </c>
      <c r="BB16" t="str">
        <f>[1]TDSheet!BB17</f>
        <v>lapitskyam@gmail.com</v>
      </c>
      <c r="BC16" t="str">
        <f>[1]TDSheet!BC17</f>
        <v>40820810340000312599</v>
      </c>
      <c r="BD16" t="str">
        <f>[1]TDSheet!BD17</f>
        <v>ПАО СБЕРБАНК</v>
      </c>
      <c r="BE16" t="str">
        <f>[1]TDSheet!BE17</f>
        <v>044525225</v>
      </c>
    </row>
    <row r="17" spans="1:57" x14ac:dyDescent="0.25">
      <c r="A17" t="str">
        <f>[1]TDSheet!A18</f>
        <v>Лисицкая Ирина Николаевна</v>
      </c>
      <c r="B17" t="str">
        <f>[1]TDSheet!B18</f>
        <v>Заместитель генерального директора по персоналу</v>
      </c>
      <c r="C17" t="str">
        <f>TEXT([1]TDSheet!C18,"ДД.ММ.ГГГГ")</f>
        <v>24.06.1983</v>
      </c>
      <c r="D17" t="str">
        <f>[1]TDSheet!D18</f>
        <v>РОССИЯ</v>
      </c>
      <c r="E17" t="str">
        <f>[1]TDSheet!E18</f>
        <v>110605099308</v>
      </c>
      <c r="F17" t="str">
        <f>[1]TDSheet!F18</f>
        <v>080-166-267 48</v>
      </c>
      <c r="G17" t="str">
        <f>[1]TDSheet!G18</f>
        <v>Паспорт гражданина РФ</v>
      </c>
      <c r="H17" t="str">
        <f>[1]TDSheet!H18</f>
        <v>Серия</v>
      </c>
      <c r="I17" t="str">
        <f>[1]TDSheet!I18</f>
        <v>87 12</v>
      </c>
      <c r="J17" t="str">
        <f>[1]TDSheet!J18</f>
        <v>Номер</v>
      </c>
      <c r="K17" t="str">
        <f>[1]TDSheet!K18</f>
        <v>537675</v>
      </c>
      <c r="L17" t="str">
        <f>[1]TDSheet!L18</f>
        <v>Выдан</v>
      </c>
      <c r="M17" t="str">
        <f>TEXT([1]TDSheet!M18,"ДД.ММ.ГГГГ")</f>
        <v>09.10.2012</v>
      </c>
      <c r="N17" t="str">
        <f>[1]TDSheet!N18</f>
        <v>ОТДЕЛЕНИЕМ УФМС РОССИИ ПО РЕСПУБЛИКЕ КОМИ В ГОРОДЕ УСИНСКЕ</v>
      </c>
      <c r="O17" t="str">
        <f>[1]TDSheet!O18</f>
        <v>110-015</v>
      </c>
      <c r="P17" t="str">
        <f>[1]TDSheet!P18</f>
        <v>Серия 87 12 Номер 537675,Выдан 09.10.2012 ОТДЕЛЕНИЕМ УФМС РОССИИ ПО РЕСПУБЛИКЕ КОМИ В ГОРОДЕ УСИНСКЕ</v>
      </c>
      <c r="Q17" t="str">
        <f>[1]TDSheet!Q18</f>
        <v>РОССИЯ, 143009, Московская обл, г Одинцово, б-р Любы Новоселовой, д. 10, кв. 7</v>
      </c>
      <c r="R17" t="str">
        <f>[1]TDSheet!R18</f>
        <v>РОССИЯ, 143009, Московская обл, г Одинцово, б-р Любы Новоселовой, д. 10, кв. 7</v>
      </c>
      <c r="S17">
        <f>[1]TDSheet!S18</f>
        <v>0</v>
      </c>
      <c r="T17" t="str">
        <f>[1]TDSheet!T18</f>
        <v>00178</v>
      </c>
      <c r="U17">
        <f>[1]TDSheet!U18</f>
        <v>0</v>
      </c>
      <c r="V17">
        <f>[1]TDSheet!V18</f>
        <v>0</v>
      </c>
      <c r="W17">
        <f>[1]TDSheet!W18</f>
        <v>0</v>
      </c>
      <c r="X17">
        <f>[1]TDSheet!X18</f>
        <v>0</v>
      </c>
      <c r="Y17">
        <f>[1]TDSheet!Y18</f>
        <v>0</v>
      </c>
      <c r="Z17" t="str">
        <f>[1]TDSheet!Z18</f>
        <v>17.08.2021</v>
      </c>
      <c r="AA17" t="str">
        <f>[1]TDSheet!AA18</f>
        <v>17/08_2021</v>
      </c>
      <c r="AB17">
        <f>[1]TDSheet!AB18</f>
        <v>0</v>
      </c>
      <c r="AC17">
        <f>[1]TDSheet!AC18</f>
        <v>0</v>
      </c>
      <c r="AD17">
        <f>[1]TDSheet!AD18</f>
        <v>0</v>
      </c>
      <c r="AE17">
        <f>[1]TDSheet!AE18</f>
        <v>0</v>
      </c>
      <c r="AF17">
        <f>[1]TDSheet!AF18</f>
        <v>0</v>
      </c>
      <c r="AG17">
        <f>[1]TDSheet!AG18</f>
        <v>0</v>
      </c>
      <c r="AH17">
        <f>[1]TDSheet!AH18</f>
        <v>0</v>
      </c>
      <c r="AI17">
        <f>[1]TDSheet!AI18</f>
        <v>0</v>
      </c>
      <c r="AJ17">
        <f>[1]TDSheet!AJ18</f>
        <v>0</v>
      </c>
      <c r="AK17">
        <f>[1]TDSheet!AK18</f>
        <v>0</v>
      </c>
      <c r="AL17">
        <f>[1]TDSheet!AL18</f>
        <v>0</v>
      </c>
      <c r="AM17">
        <f>[1]TDSheet!AM18</f>
        <v>0</v>
      </c>
      <c r="AN17">
        <f>[1]TDSheet!AN18</f>
        <v>0</v>
      </c>
      <c r="AO17">
        <f>[1]TDSheet!AO18</f>
        <v>0</v>
      </c>
      <c r="AP17">
        <f>[1]TDSheet!AP18</f>
        <v>0</v>
      </c>
      <c r="AQ17">
        <f>[1]TDSheet!AQ18</f>
        <v>0</v>
      </c>
      <c r="AR17">
        <f>[1]TDSheet!AR18</f>
        <v>0</v>
      </c>
      <c r="AS17">
        <f>[1]TDSheet!AS18</f>
        <v>0</v>
      </c>
      <c r="AT17">
        <f>[1]TDSheet!AT18</f>
        <v>0</v>
      </c>
      <c r="AU17">
        <f>[1]TDSheet!AU18</f>
        <v>0</v>
      </c>
      <c r="AV17">
        <f>[1]TDSheet!AV18</f>
        <v>0</v>
      </c>
      <c r="AW17">
        <f>[1]TDSheet!AW18</f>
        <v>0</v>
      </c>
      <c r="AX17">
        <f>[1]TDSheet!AX18</f>
        <v>0</v>
      </c>
      <c r="AY17">
        <f>[1]TDSheet!AY18</f>
        <v>0</v>
      </c>
      <c r="AZ17">
        <f>[1]TDSheet!AZ18</f>
        <v>0</v>
      </c>
      <c r="BA17" t="str">
        <f>[1]TDSheet!BA18</f>
        <v>8-912-124-67-72</v>
      </c>
      <c r="BB17" t="str">
        <f>[1]TDSheet!BB18</f>
        <v>lin@technoroof.ru</v>
      </c>
      <c r="BC17" t="str">
        <f>[1]TDSheet!BC18</f>
        <v>40817810240019320533</v>
      </c>
      <c r="BD17" t="str">
        <f>[1]TDSheet!BD18</f>
        <v>ПАО СБЕРБАНК</v>
      </c>
      <c r="BE17" t="str">
        <f>[1]TDSheet!BE18</f>
        <v>044525225</v>
      </c>
    </row>
    <row r="18" spans="1:57" x14ac:dyDescent="0.25">
      <c r="A18" t="str">
        <f>[1]TDSheet!A19</f>
        <v>Ляшенко Дмитрий Григорьевич</v>
      </c>
      <c r="B18" t="str">
        <f>[1]TDSheet!B19</f>
        <v>Помощник кладовщика</v>
      </c>
      <c r="C18" t="str">
        <f>TEXT([1]TDSheet!C19,"ДД.ММ.ГГГГ")</f>
        <v>22.10.1974</v>
      </c>
      <c r="D18" t="str">
        <f>[1]TDSheet!D19</f>
        <v>РОССИЯ</v>
      </c>
      <c r="E18" t="str">
        <f>[1]TDSheet!E19</f>
        <v>503216957970</v>
      </c>
      <c r="F18" t="str">
        <f>[1]TDSheet!F19</f>
        <v>023-725-805 37</v>
      </c>
      <c r="G18" t="str">
        <f>[1]TDSheet!G19</f>
        <v>Паспорт гражданина РФ</v>
      </c>
      <c r="H18" t="str">
        <f>[1]TDSheet!H19</f>
        <v>Серия</v>
      </c>
      <c r="I18" t="str">
        <f>[1]TDSheet!I19</f>
        <v>46 21</v>
      </c>
      <c r="J18" t="str">
        <f>[1]TDSheet!J19</f>
        <v>Номер</v>
      </c>
      <c r="K18" t="str">
        <f>[1]TDSheet!K19</f>
        <v>111894</v>
      </c>
      <c r="L18" t="str">
        <f>[1]TDSheet!L19</f>
        <v>Выдан</v>
      </c>
      <c r="M18" t="str">
        <f>TEXT([1]TDSheet!M19,"ДД.ММ.ГГГГ")</f>
        <v>24.04.2021</v>
      </c>
      <c r="N18" t="str">
        <f>[1]TDSheet!N19</f>
        <v>ГУ МВД РОССИИ ПО МОСКОВСКОЙ ОБЛАСТИ</v>
      </c>
      <c r="O18" t="str">
        <f>[1]TDSheet!O19</f>
        <v>500-095</v>
      </c>
      <c r="P18" t="str">
        <f>[1]TDSheet!P19</f>
        <v>Серия 46 21 Номер 111894,Выдан 24.04.2021 ГУ МВД РОССИИ ПО МОСКОВСКОЙ ОБЛАСТИ</v>
      </c>
      <c r="Q18" t="str">
        <f>[1]TDSheet!Q19</f>
        <v>РОССИЯ, 143002, Московская обл, г Одинцово, ул Маршала Неделина, д. 9, кв. 220</v>
      </c>
      <c r="R18" t="str">
        <f>[1]TDSheet!R19</f>
        <v>РОССИЯ, 143002, Московская обл, г Одинцово, ул Маршала Неделина, д. 9, кв. 220</v>
      </c>
      <c r="S18">
        <f>[1]TDSheet!S19</f>
        <v>0</v>
      </c>
      <c r="T18" t="str">
        <f>[1]TDSheet!T19</f>
        <v>00186</v>
      </c>
      <c r="U18">
        <f>[1]TDSheet!U19</f>
        <v>0</v>
      </c>
      <c r="V18">
        <f>[1]TDSheet!V19</f>
        <v>0</v>
      </c>
      <c r="W18">
        <f>[1]TDSheet!W19</f>
        <v>0</v>
      </c>
      <c r="X18">
        <f>[1]TDSheet!X19</f>
        <v>0</v>
      </c>
      <c r="Y18">
        <f>[1]TDSheet!Y19</f>
        <v>0</v>
      </c>
      <c r="Z18" t="str">
        <f>[1]TDSheet!Z19</f>
        <v>27.08.2021</v>
      </c>
      <c r="AA18" t="str">
        <f>[1]TDSheet!AA19</f>
        <v>27/08-01_2021</v>
      </c>
      <c r="AB18">
        <f>[1]TDSheet!AB19</f>
        <v>0</v>
      </c>
      <c r="AC18">
        <f>[1]TDSheet!AC19</f>
        <v>0</v>
      </c>
      <c r="AD18">
        <f>[1]TDSheet!AD19</f>
        <v>0</v>
      </c>
      <c r="AE18">
        <f>[1]TDSheet!AE19</f>
        <v>0</v>
      </c>
      <c r="AF18">
        <f>[1]TDSheet!AF19</f>
        <v>0</v>
      </c>
      <c r="AG18">
        <f>[1]TDSheet!AG19</f>
        <v>0</v>
      </c>
      <c r="AH18">
        <f>[1]TDSheet!AH19</f>
        <v>0</v>
      </c>
      <c r="AI18">
        <f>[1]TDSheet!AI19</f>
        <v>0</v>
      </c>
      <c r="AJ18">
        <f>[1]TDSheet!AJ19</f>
        <v>0</v>
      </c>
      <c r="AK18">
        <f>[1]TDSheet!AK19</f>
        <v>0</v>
      </c>
      <c r="AL18">
        <f>[1]TDSheet!AL19</f>
        <v>0</v>
      </c>
      <c r="AM18">
        <f>[1]TDSheet!AM19</f>
        <v>0</v>
      </c>
      <c r="AN18">
        <f>[1]TDSheet!AN19</f>
        <v>0</v>
      </c>
      <c r="AO18">
        <f>[1]TDSheet!AO19</f>
        <v>0</v>
      </c>
      <c r="AP18">
        <f>[1]TDSheet!AP19</f>
        <v>0</v>
      </c>
      <c r="AQ18">
        <f>[1]TDSheet!AQ19</f>
        <v>0</v>
      </c>
      <c r="AR18">
        <f>[1]TDSheet!AR19</f>
        <v>0</v>
      </c>
      <c r="AS18">
        <f>[1]TDSheet!AS19</f>
        <v>0</v>
      </c>
      <c r="AT18">
        <f>[1]TDSheet!AT19</f>
        <v>0</v>
      </c>
      <c r="AU18">
        <f>[1]TDSheet!AU19</f>
        <v>0</v>
      </c>
      <c r="AV18">
        <f>[1]TDSheet!AV19</f>
        <v>0</v>
      </c>
      <c r="AW18">
        <f>[1]TDSheet!AW19</f>
        <v>0</v>
      </c>
      <c r="AX18">
        <f>[1]TDSheet!AX19</f>
        <v>0</v>
      </c>
      <c r="AY18">
        <f>[1]TDSheet!AY19</f>
        <v>0</v>
      </c>
      <c r="AZ18">
        <f>[1]TDSheet!AZ19</f>
        <v>0</v>
      </c>
      <c r="BA18" t="str">
        <f>[1]TDSheet!BA19</f>
        <v>8-977-270-00-51</v>
      </c>
      <c r="BB18" t="str">
        <f>[1]TDSheet!BB19</f>
        <v>ncvd37@yandex.ru</v>
      </c>
      <c r="BC18">
        <f>[1]TDSheet!BC19</f>
        <v>0</v>
      </c>
      <c r="BD18">
        <f>[1]TDSheet!BD19</f>
        <v>0</v>
      </c>
      <c r="BE18">
        <f>[1]TDSheet!BE19</f>
        <v>0</v>
      </c>
    </row>
    <row r="19" spans="1:57" x14ac:dyDescent="0.25">
      <c r="A19" t="str">
        <f>[1]TDSheet!A20</f>
        <v>Москвитин Александр Семенович</v>
      </c>
      <c r="B19" t="str">
        <f>[1]TDSheet!B20</f>
        <v>Генеральный директор</v>
      </c>
      <c r="C19" t="str">
        <f>TEXT([1]TDSheet!C20,"ДД.ММ.ГГГГ")</f>
        <v>08.10.1975</v>
      </c>
      <c r="D19" t="str">
        <f>[1]TDSheet!D20</f>
        <v>РОССИЯ</v>
      </c>
      <c r="E19" t="str">
        <f>[1]TDSheet!E20</f>
        <v>772608126290</v>
      </c>
      <c r="F19" t="str">
        <f>[1]TDSheet!F20</f>
        <v>038-527-349 73</v>
      </c>
      <c r="G19" t="str">
        <f>[1]TDSheet!G20</f>
        <v>Паспорт гражданина РФ</v>
      </c>
      <c r="H19" t="str">
        <f>[1]TDSheet!H20</f>
        <v>Серия</v>
      </c>
      <c r="I19" t="str">
        <f>[1]TDSheet!I20</f>
        <v>45 20</v>
      </c>
      <c r="J19" t="str">
        <f>[1]TDSheet!J20</f>
        <v>Номер</v>
      </c>
      <c r="K19" t="str">
        <f>[1]TDSheet!K20</f>
        <v>955463</v>
      </c>
      <c r="L19" t="str">
        <f>[1]TDSheet!L20</f>
        <v>Выдан</v>
      </c>
      <c r="M19" t="str">
        <f>TEXT([1]TDSheet!M20,"ДД.ММ.ГГГГ")</f>
        <v>22.10.2020</v>
      </c>
      <c r="N19" t="str">
        <f>[1]TDSheet!N20</f>
        <v>ГУ МВД РОССИИ ПО Г. МОСКВЕ</v>
      </c>
      <c r="O19" t="str">
        <f>[1]TDSheet!O20</f>
        <v>770-042</v>
      </c>
      <c r="P19" t="str">
        <f>[1]TDSheet!P20</f>
        <v>Серия 45 20 Номер 955463,Выдан 22.10.2020 ГУ МВД РОССИИ ПО Г. МОСКВЕ</v>
      </c>
      <c r="Q19" t="str">
        <f>[1]TDSheet!Q20</f>
        <v>РОССИЯ, 117648, Москва г, Чертаново Северное мкр, дом 1А, квартира 1022</v>
      </c>
      <c r="R19" t="str">
        <f>[1]TDSheet!R20</f>
        <v>РОССИЯ, 117648, Москва г, Чертаново Северное мкр, дом 1А, квартира 1022</v>
      </c>
      <c r="S19">
        <f>[1]TDSheet!S20</f>
        <v>0</v>
      </c>
      <c r="T19" t="str">
        <f>[1]TDSheet!T20</f>
        <v>0000000332</v>
      </c>
      <c r="U19">
        <f>[1]TDSheet!U20</f>
        <v>0</v>
      </c>
      <c r="V19">
        <f>[1]TDSheet!V20</f>
        <v>0</v>
      </c>
      <c r="W19">
        <f>[1]TDSheet!W20</f>
        <v>0</v>
      </c>
      <c r="X19">
        <f>[1]TDSheet!X20</f>
        <v>0</v>
      </c>
      <c r="Y19">
        <f>[1]TDSheet!Y20</f>
        <v>0</v>
      </c>
      <c r="Z19">
        <f>[1]TDSheet!Z20</f>
        <v>0</v>
      </c>
      <c r="AA19">
        <f>[1]TDSheet!AA20</f>
        <v>0</v>
      </c>
      <c r="AB19">
        <f>[1]TDSheet!AB20</f>
        <v>0</v>
      </c>
      <c r="AC19">
        <f>[1]TDSheet!AC20</f>
        <v>1</v>
      </c>
      <c r="AD19">
        <f>[1]TDSheet!AD20</f>
        <v>44518</v>
      </c>
      <c r="AE19">
        <f>[1]TDSheet!AE20</f>
        <v>1</v>
      </c>
      <c r="AF19">
        <f>[1]TDSheet!AF20</f>
        <v>44431</v>
      </c>
      <c r="AG19" t="str">
        <f>[1]TDSheet!AG20</f>
        <v>не надо</v>
      </c>
      <c r="AH19" t="str">
        <f>[1]TDSheet!AH20</f>
        <v>не надо</v>
      </c>
      <c r="AI19" t="str">
        <f>[1]TDSheet!AI20</f>
        <v>не надо</v>
      </c>
      <c r="AJ19">
        <f>[1]TDSheet!AJ20</f>
        <v>1</v>
      </c>
      <c r="AK19">
        <f>[1]TDSheet!AK20</f>
        <v>43871</v>
      </c>
      <c r="AL19" t="str">
        <f>[1]TDSheet!AL20</f>
        <v>не надо</v>
      </c>
      <c r="AM19">
        <f>[1]TDSheet!AM20</f>
        <v>44510</v>
      </c>
      <c r="AN19" t="str">
        <f>[1]TDSheet!AN20</f>
        <v>не надо</v>
      </c>
      <c r="AO19">
        <f>[1]TDSheet!AO20</f>
        <v>1</v>
      </c>
      <c r="AP19">
        <f>[1]TDSheet!AP20</f>
        <v>44238</v>
      </c>
      <c r="AQ19">
        <f>[1]TDSheet!AQ20</f>
        <v>0</v>
      </c>
      <c r="AR19" t="str">
        <f>[1]TDSheet!AR20</f>
        <v>не надо</v>
      </c>
      <c r="AS19" t="str">
        <f>[1]TDSheet!AS20</f>
        <v>не надо</v>
      </c>
      <c r="AT19" t="str">
        <f>[1]TDSheet!AT20</f>
        <v>не надо</v>
      </c>
      <c r="AU19" t="str">
        <f>[1]TDSheet!AU20</f>
        <v>не надо</v>
      </c>
      <c r="AV19" t="str">
        <f>[1]TDSheet!AV20</f>
        <v>не надо</v>
      </c>
      <c r="AW19">
        <f>[1]TDSheet!AW20</f>
        <v>0</v>
      </c>
      <c r="AX19">
        <f>[1]TDSheet!AX20</f>
        <v>0</v>
      </c>
      <c r="AY19">
        <f>[1]TDSheet!AY20</f>
        <v>0</v>
      </c>
      <c r="AZ19">
        <f>[1]TDSheet!AZ20</f>
        <v>0</v>
      </c>
      <c r="BA19" t="str">
        <f>[1]TDSheet!BA20</f>
        <v>8-916-283-11-11</v>
      </c>
      <c r="BB19">
        <f>[1]TDSheet!BB20</f>
        <v>0</v>
      </c>
      <c r="BC19" t="str">
        <f>[1]TDSheet!BC20</f>
        <v>40817810640015511328</v>
      </c>
      <c r="BD19" t="str">
        <f>[1]TDSheet!BD20</f>
        <v>ПАО СБЕРБАНК</v>
      </c>
      <c r="BE19" t="str">
        <f>[1]TDSheet!BE20</f>
        <v>044525225</v>
      </c>
    </row>
    <row r="20" spans="1:57" x14ac:dyDescent="0.25">
      <c r="A20" t="str">
        <f>[1]TDSheet!A21</f>
        <v>Москвитина Ольга Сергеевна</v>
      </c>
      <c r="B20" t="str">
        <f>[1]TDSheet!B21</f>
        <v>Коммерческий директор</v>
      </c>
      <c r="C20" t="str">
        <f>TEXT([1]TDSheet!C21,"ДД.ММ.ГГГГ")</f>
        <v>02.08.1979</v>
      </c>
      <c r="D20" t="str">
        <f>[1]TDSheet!D21</f>
        <v>РОССИЯ</v>
      </c>
      <c r="E20" t="str">
        <f>[1]TDSheet!E21</f>
        <v>633010825795</v>
      </c>
      <c r="F20" t="str">
        <f>[1]TDSheet!F21</f>
        <v>112-177-835 34</v>
      </c>
      <c r="G20" t="str">
        <f>[1]TDSheet!G21</f>
        <v>Паспорт гражданина РФ</v>
      </c>
      <c r="H20" t="str">
        <f>[1]TDSheet!H21</f>
        <v>Серия</v>
      </c>
      <c r="I20" t="str">
        <f>[1]TDSheet!I21</f>
        <v>45 07</v>
      </c>
      <c r="J20" t="str">
        <f>[1]TDSheet!J21</f>
        <v>Номер</v>
      </c>
      <c r="K20" t="str">
        <f>[1]TDSheet!K21</f>
        <v>533708</v>
      </c>
      <c r="L20" t="str">
        <f>[1]TDSheet!L21</f>
        <v>Выдан</v>
      </c>
      <c r="M20" t="str">
        <f>TEXT([1]TDSheet!M21,"ДД.ММ.ГГГГ")</f>
        <v>24.09.2004</v>
      </c>
      <c r="N20" t="str">
        <f>[1]TDSheet!N21</f>
        <v>ОВД "Чертаново Северное" города Москвы</v>
      </c>
      <c r="O20" t="str">
        <f>[1]TDSheet!O21</f>
        <v>772-006</v>
      </c>
      <c r="P20" t="str">
        <f>[1]TDSheet!P21</f>
        <v>Серия 45 07 Номер 533708,Выдан 24.09.2004 ОВД "Чертаново Северное" города Москвы</v>
      </c>
      <c r="Q20" t="str">
        <f>[1]TDSheet!Q21</f>
        <v>117208, Москва г, Сумской проезд, дом № 12, корпус 2, кв.590</v>
      </c>
      <c r="R20" t="str">
        <f>[1]TDSheet!R21</f>
        <v>117208, Москва г, Сумской проезд, дом № 12, корпус 2, кв.590</v>
      </c>
      <c r="S20">
        <f>[1]TDSheet!S21</f>
        <v>0</v>
      </c>
      <c r="T20" t="str">
        <f>[1]TDSheet!T21</f>
        <v>0000000032</v>
      </c>
      <c r="U20">
        <f>[1]TDSheet!U21</f>
        <v>0</v>
      </c>
      <c r="V20">
        <f>[1]TDSheet!V21</f>
        <v>0</v>
      </c>
      <c r="W20">
        <f>[1]TDSheet!W21</f>
        <v>0</v>
      </c>
      <c r="X20">
        <f>[1]TDSheet!X21</f>
        <v>0</v>
      </c>
      <c r="Y20">
        <f>[1]TDSheet!Y21</f>
        <v>0</v>
      </c>
      <c r="Z20" t="str">
        <f>[1]TDSheet!Z21</f>
        <v>15.09.2016</v>
      </c>
      <c r="AA20" t="str">
        <f>[1]TDSheet!AA21</f>
        <v>ТХ-10</v>
      </c>
      <c r="AB20">
        <f>[1]TDSheet!AB21</f>
        <v>0</v>
      </c>
      <c r="AC20">
        <f>[1]TDSheet!AC21</f>
        <v>0</v>
      </c>
      <c r="AD20">
        <f>[1]TDSheet!AD21</f>
        <v>0</v>
      </c>
      <c r="AE20">
        <f>[1]TDSheet!AE21</f>
        <v>0</v>
      </c>
      <c r="AF20">
        <f>[1]TDSheet!AF21</f>
        <v>0</v>
      </c>
      <c r="AG20">
        <f>[1]TDSheet!AG21</f>
        <v>0</v>
      </c>
      <c r="AH20">
        <f>[1]TDSheet!AH21</f>
        <v>0</v>
      </c>
      <c r="AI20">
        <f>[1]TDSheet!AI21</f>
        <v>0</v>
      </c>
      <c r="AJ20">
        <f>[1]TDSheet!AJ21</f>
        <v>0</v>
      </c>
      <c r="AK20">
        <f>[1]TDSheet!AK21</f>
        <v>0</v>
      </c>
      <c r="AL20">
        <f>[1]TDSheet!AL21</f>
        <v>0</v>
      </c>
      <c r="AM20">
        <f>[1]TDSheet!AM21</f>
        <v>0</v>
      </c>
      <c r="AN20">
        <f>[1]TDSheet!AN21</f>
        <v>0</v>
      </c>
      <c r="AO20">
        <f>[1]TDSheet!AO21</f>
        <v>0</v>
      </c>
      <c r="AP20">
        <f>[1]TDSheet!AP21</f>
        <v>0</v>
      </c>
      <c r="AQ20">
        <f>[1]TDSheet!AQ21</f>
        <v>0</v>
      </c>
      <c r="AR20">
        <f>[1]TDSheet!AR21</f>
        <v>0</v>
      </c>
      <c r="AS20">
        <f>[1]TDSheet!AS21</f>
        <v>0</v>
      </c>
      <c r="AT20">
        <f>[1]TDSheet!AT21</f>
        <v>0</v>
      </c>
      <c r="AU20">
        <f>[1]TDSheet!AU21</f>
        <v>0</v>
      </c>
      <c r="AV20">
        <f>[1]TDSheet!AV21</f>
        <v>0</v>
      </c>
      <c r="AW20">
        <f>[1]TDSheet!AW21</f>
        <v>0</v>
      </c>
      <c r="AX20">
        <f>[1]TDSheet!AX21</f>
        <v>0</v>
      </c>
      <c r="AY20">
        <f>[1]TDSheet!AY21</f>
        <v>0</v>
      </c>
      <c r="AZ20">
        <f>[1]TDSheet!AZ21</f>
        <v>0</v>
      </c>
      <c r="BA20">
        <f>[1]TDSheet!BA21</f>
        <v>0</v>
      </c>
      <c r="BB20">
        <f>[1]TDSheet!BB21</f>
        <v>0</v>
      </c>
      <c r="BC20" t="str">
        <f>[1]TDSheet!BC21</f>
        <v>40817810940290035691</v>
      </c>
      <c r="BD20" t="str">
        <f>[1]TDSheet!BD21</f>
        <v>ПАО СБЕРБАНК</v>
      </c>
      <c r="BE20" t="str">
        <f>[1]TDSheet!BE21</f>
        <v>044525225</v>
      </c>
    </row>
    <row r="21" spans="1:57" x14ac:dyDescent="0.25">
      <c r="A21" t="str">
        <f>[1]TDSheet!A22</f>
        <v>Осепенко Владимир Викторович  (сроч.)</v>
      </c>
      <c r="B21" t="str">
        <f>[1]TDSheet!B22</f>
        <v>Мастер</v>
      </c>
      <c r="C21" t="str">
        <f>TEXT([1]TDSheet!C22,"ДД.ММ.ГГГГ")</f>
        <v>23.04.1982</v>
      </c>
      <c r="D21" t="str">
        <f>[1]TDSheet!D22</f>
        <v>РОССИЯ</v>
      </c>
      <c r="E21" t="str">
        <f>[1]TDSheet!E22</f>
        <v>343704386913</v>
      </c>
      <c r="F21" t="str">
        <f>[1]TDSheet!F22</f>
        <v>132-449-633 53</v>
      </c>
      <c r="G21" t="str">
        <f>[1]TDSheet!G22</f>
        <v>Паспорт гражданина РФ</v>
      </c>
      <c r="H21" t="str">
        <f>[1]TDSheet!H22</f>
        <v>Серия</v>
      </c>
      <c r="I21" t="str">
        <f>[1]TDSheet!I22</f>
        <v>18 05</v>
      </c>
      <c r="J21" t="str">
        <f>[1]TDSheet!J22</f>
        <v>Номер</v>
      </c>
      <c r="K21" t="str">
        <f>[1]TDSheet!K22</f>
        <v>786321</v>
      </c>
      <c r="L21" t="str">
        <f>[1]TDSheet!L22</f>
        <v>Выдан</v>
      </c>
      <c r="M21" t="str">
        <f>TEXT([1]TDSheet!M22,"ДД.ММ.ГГГГ")</f>
        <v>04.04.2006</v>
      </c>
      <c r="N21" t="str">
        <f>[1]TDSheet!N22</f>
        <v>Михайловский РОВД Волгоградской области</v>
      </c>
      <c r="O21" t="str">
        <f>[1]TDSheet!O22</f>
        <v>342-027</v>
      </c>
      <c r="P21" t="str">
        <f>[1]TDSheet!P22</f>
        <v>Серия 18 05 Номер 786321,Выдан 04.04.2006 Михайловский РОВД Волгоградской области</v>
      </c>
      <c r="Q21" t="str">
        <f>[1]TDSheet!Q22</f>
        <v>403334, Волгоградская обл, Михайловский р-н, Совхозная ул</v>
      </c>
      <c r="R21" t="str">
        <f>[1]TDSheet!R22</f>
        <v>403334, Волгоградская обл, Михайловский р-н, Совхозная ул</v>
      </c>
      <c r="S21">
        <f>[1]TDSheet!S22</f>
        <v>0</v>
      </c>
      <c r="T21" t="str">
        <f>[1]TDSheet!T22</f>
        <v>0000000095</v>
      </c>
      <c r="U21">
        <f>[1]TDSheet!U22</f>
        <v>168</v>
      </c>
      <c r="V21" t="str">
        <f>[1]TDSheet!V22</f>
        <v>44-46</v>
      </c>
      <c r="W21">
        <f>[1]TDSheet!W22</f>
        <v>42</v>
      </c>
      <c r="X21">
        <f>[1]TDSheet!X22</f>
        <v>0</v>
      </c>
      <c r="Y21">
        <f>[1]TDSheet!Y22</f>
        <v>0</v>
      </c>
      <c r="Z21" t="str">
        <f>[1]TDSheet!Z22</f>
        <v>08.06.2017</v>
      </c>
      <c r="AA21" t="str">
        <f>[1]TDSheet!AA22</f>
        <v>ТХ-72</v>
      </c>
      <c r="AB21">
        <f>[1]TDSheet!AB22</f>
        <v>0</v>
      </c>
      <c r="AC21">
        <f>[1]TDSheet!AC22</f>
        <v>1</v>
      </c>
      <c r="AD21">
        <f>[1]TDSheet!AD22</f>
        <v>44518</v>
      </c>
      <c r="AE21">
        <f>[1]TDSheet!AE22</f>
        <v>1</v>
      </c>
      <c r="AF21">
        <f>[1]TDSheet!AF22</f>
        <v>44431</v>
      </c>
      <c r="AG21">
        <f>[1]TDSheet!AG22</f>
        <v>1</v>
      </c>
      <c r="AH21">
        <f>[1]TDSheet!AH22</f>
        <v>44539</v>
      </c>
      <c r="AI21" t="str">
        <f>[1]TDSheet!AI22</f>
        <v>2 группа</v>
      </c>
      <c r="AJ21">
        <f>[1]TDSheet!AJ22</f>
        <v>1</v>
      </c>
      <c r="AK21">
        <f>[1]TDSheet!AK22</f>
        <v>44529</v>
      </c>
      <c r="AL21" t="str">
        <f>[1]TDSheet!AL22</f>
        <v>не надо</v>
      </c>
      <c r="AM21" t="str">
        <f>[1]TDSheet!AM22</f>
        <v>не надо</v>
      </c>
      <c r="AN21">
        <f>[1]TDSheet!AN22</f>
        <v>44531</v>
      </c>
      <c r="AO21" t="str">
        <f>[1]TDSheet!AO22</f>
        <v>не надо</v>
      </c>
      <c r="AP21" t="str">
        <f>[1]TDSheet!AP22</f>
        <v>не надо</v>
      </c>
      <c r="AQ21" t="str">
        <f>[1]TDSheet!AQ22</f>
        <v>не надо</v>
      </c>
      <c r="AR21" t="str">
        <f>[1]TDSheet!AR22</f>
        <v>не надо</v>
      </c>
      <c r="AS21" t="str">
        <f>[1]TDSheet!AS22</f>
        <v>не надо</v>
      </c>
      <c r="AT21">
        <f>[1]TDSheet!AT22</f>
        <v>1</v>
      </c>
      <c r="AU21">
        <f>[1]TDSheet!AU22</f>
        <v>44410</v>
      </c>
      <c r="AV21">
        <f>[1]TDSheet!AV22</f>
        <v>44525</v>
      </c>
      <c r="AW21">
        <f>[1]TDSheet!AW22</f>
        <v>0</v>
      </c>
      <c r="AX21">
        <f>[1]TDSheet!AX22</f>
        <v>44241</v>
      </c>
      <c r="AY21">
        <f>[1]TDSheet!AY22</f>
        <v>0</v>
      </c>
      <c r="AZ21">
        <f>[1]TDSheet!AZ22</f>
        <v>0</v>
      </c>
      <c r="BA21" t="str">
        <f>[1]TDSheet!BA22</f>
        <v>8-985-300-70-67</v>
      </c>
      <c r="BB21" t="str">
        <f>[1]TDSheet!BB22</f>
        <v>ap4536558@gmail.com</v>
      </c>
      <c r="BC21" t="str">
        <f>[1]TDSheet!BC22</f>
        <v>40817810240010747050</v>
      </c>
      <c r="BD21" t="str">
        <f>[1]TDSheet!BD22</f>
        <v>ПАО СБЕРБАНК</v>
      </c>
      <c r="BE21" t="str">
        <f>[1]TDSheet!BE22</f>
        <v>044525225</v>
      </c>
    </row>
    <row r="22" spans="1:57" x14ac:dyDescent="0.25">
      <c r="A22" t="str">
        <f>[1]TDSheet!A23</f>
        <v>Патетько Сергей Геннадьевич</v>
      </c>
      <c r="B22" t="str">
        <f>[1]TDSheet!B23</f>
        <v>Кладовщик</v>
      </c>
      <c r="C22" t="str">
        <f>TEXT([1]TDSheet!C23,"ДД.ММ.ГГГГ")</f>
        <v>08.08.1970</v>
      </c>
      <c r="D22" t="str">
        <f>[1]TDSheet!D23</f>
        <v>РОССИЯ</v>
      </c>
      <c r="E22" t="str">
        <f>[1]TDSheet!E23</f>
        <v>503214515503</v>
      </c>
      <c r="F22" t="str">
        <f>[1]TDSheet!F23</f>
        <v>051-714-260 27</v>
      </c>
      <c r="G22" t="str">
        <f>[1]TDSheet!G23</f>
        <v>Паспорт гражданина РФ</v>
      </c>
      <c r="H22" t="str">
        <f>[1]TDSheet!H23</f>
        <v>Серия</v>
      </c>
      <c r="I22" t="str">
        <f>[1]TDSheet!I23</f>
        <v>46 15</v>
      </c>
      <c r="J22" t="str">
        <f>[1]TDSheet!J23</f>
        <v>Номер</v>
      </c>
      <c r="K22" t="str">
        <f>[1]TDSheet!K23</f>
        <v>937645</v>
      </c>
      <c r="L22" t="str">
        <f>[1]TDSheet!L23</f>
        <v>Выдан</v>
      </c>
      <c r="M22" t="str">
        <f>TEXT([1]TDSheet!M23,"ДД.ММ.ГГГГ")</f>
        <v>02.09.2015</v>
      </c>
      <c r="N22" t="str">
        <f>[1]TDSheet!N23</f>
        <v xml:space="preserve">ТП №2 МЕЖРАЙОННОГО  ОУФМС РОССИИ ПО МОСКОВСКОЙ ОБЛ. В ГОРОДСКОМ ПОСЕЛЕНИИ ОДИНЦОВО </v>
      </c>
      <c r="O22" t="str">
        <f>[1]TDSheet!O23</f>
        <v>500-103</v>
      </c>
      <c r="P22" t="str">
        <f>[1]TDSheet!P23</f>
        <v xml:space="preserve">Серия 46 15 Номер 937645,Выдан 02.09.2015 ТП №2 МЕЖРАЙОННОГО  ОУФМС РОССИИ ПО МОСКОВСКОЙ ОБЛ. В ГОРОДСКОМ ПОСЕЛЕНИИ ОДИНЦОВО </v>
      </c>
      <c r="Q22" t="str">
        <f>[1]TDSheet!Q23</f>
        <v>РОССИЯ, 143002, Московская обл, г Одинцово, ул Маршала Неделина, д. 5, кв. 83</v>
      </c>
      <c r="R22" t="str">
        <f>[1]TDSheet!R23</f>
        <v>РОССИЯ, 143002, Московская обл, г Одинцово, ул Маршала Неделина, д. 5, кв. 83</v>
      </c>
      <c r="S22">
        <f>[1]TDSheet!S23</f>
        <v>0</v>
      </c>
      <c r="T22" t="str">
        <f>[1]TDSheet!T23</f>
        <v>00161</v>
      </c>
      <c r="U22">
        <f>[1]TDSheet!U23</f>
        <v>0</v>
      </c>
      <c r="V22">
        <f>[1]TDSheet!V23</f>
        <v>0</v>
      </c>
      <c r="W22">
        <f>[1]TDSheet!W23</f>
        <v>0</v>
      </c>
      <c r="X22">
        <f>[1]TDSheet!X23</f>
        <v>0</v>
      </c>
      <c r="Y22">
        <f>[1]TDSheet!Y23</f>
        <v>0</v>
      </c>
      <c r="Z22" t="str">
        <f>[1]TDSheet!Z23</f>
        <v>18.06.2021</v>
      </c>
      <c r="AA22" t="str">
        <f>[1]TDSheet!AA23</f>
        <v>18/06_2021</v>
      </c>
      <c r="AB22">
        <f>[1]TDSheet!AB23</f>
        <v>0</v>
      </c>
      <c r="AC22">
        <f>[1]TDSheet!AC23</f>
        <v>0</v>
      </c>
      <c r="AD22">
        <f>[1]TDSheet!AD23</f>
        <v>0</v>
      </c>
      <c r="AE22">
        <f>[1]TDSheet!AE23</f>
        <v>0</v>
      </c>
      <c r="AF22">
        <f>[1]TDSheet!AF23</f>
        <v>0</v>
      </c>
      <c r="AG22">
        <f>[1]TDSheet!AG23</f>
        <v>0</v>
      </c>
      <c r="AH22">
        <f>[1]TDSheet!AH23</f>
        <v>0</v>
      </c>
      <c r="AI22">
        <f>[1]TDSheet!AI23</f>
        <v>0</v>
      </c>
      <c r="AJ22">
        <f>[1]TDSheet!AJ23</f>
        <v>0</v>
      </c>
      <c r="AK22">
        <f>[1]TDSheet!AK23</f>
        <v>0</v>
      </c>
      <c r="AL22">
        <f>[1]TDSheet!AL23</f>
        <v>0</v>
      </c>
      <c r="AM22">
        <f>[1]TDSheet!AM23</f>
        <v>0</v>
      </c>
      <c r="AN22">
        <f>[1]TDSheet!AN23</f>
        <v>0</v>
      </c>
      <c r="AO22">
        <f>[1]TDSheet!AO23</f>
        <v>0</v>
      </c>
      <c r="AP22">
        <f>[1]TDSheet!AP23</f>
        <v>0</v>
      </c>
      <c r="AQ22">
        <f>[1]TDSheet!AQ23</f>
        <v>0</v>
      </c>
      <c r="AR22">
        <f>[1]TDSheet!AR23</f>
        <v>0</v>
      </c>
      <c r="AS22">
        <f>[1]TDSheet!AS23</f>
        <v>0</v>
      </c>
      <c r="AT22">
        <f>[1]TDSheet!AT23</f>
        <v>0</v>
      </c>
      <c r="AU22">
        <f>[1]TDSheet!AU23</f>
        <v>0</v>
      </c>
      <c r="AV22">
        <f>[1]TDSheet!AV23</f>
        <v>0</v>
      </c>
      <c r="AW22">
        <f>[1]TDSheet!AW23</f>
        <v>0</v>
      </c>
      <c r="AX22">
        <f>[1]TDSheet!AX23</f>
        <v>0</v>
      </c>
      <c r="AY22">
        <f>[1]TDSheet!AY23</f>
        <v>0</v>
      </c>
      <c r="AZ22">
        <f>[1]TDSheet!AZ23</f>
        <v>0</v>
      </c>
      <c r="BA22" t="str">
        <f>[1]TDSheet!BA23</f>
        <v>8-903-169-40-56</v>
      </c>
      <c r="BB22" t="str">
        <f>[1]TDSheet!BB23</f>
        <v>serega58312@mail.ru</v>
      </c>
      <c r="BC22" t="str">
        <f>[1]TDSheet!BC23</f>
        <v>40817810040003420717</v>
      </c>
      <c r="BD22" t="str">
        <f>[1]TDSheet!BD23</f>
        <v>ПАО СБЕРБАНК</v>
      </c>
      <c r="BE22" t="str">
        <f>[1]TDSheet!BE23</f>
        <v>044525225</v>
      </c>
    </row>
    <row r="23" spans="1:57" x14ac:dyDescent="0.25">
      <c r="A23" t="str">
        <f>[1]TDSheet!A24</f>
        <v>Петров Алексей Константинович</v>
      </c>
      <c r="B23" t="str">
        <f>[1]TDSheet!B24</f>
        <v>Инженер ПТО</v>
      </c>
      <c r="C23" t="str">
        <f>TEXT([1]TDSheet!C24,"ДД.ММ.ГГГГ")</f>
        <v>25.12.1998</v>
      </c>
      <c r="D23" t="str">
        <f>[1]TDSheet!D24</f>
        <v>РОССИЯ</v>
      </c>
      <c r="E23" t="str">
        <f>[1]TDSheet!E24</f>
        <v>312318617450</v>
      </c>
      <c r="F23" t="str">
        <f>[1]TDSheet!F24</f>
        <v>149-510-457 67</v>
      </c>
      <c r="G23" t="str">
        <f>[1]TDSheet!G24</f>
        <v>Паспорт гражданина РФ</v>
      </c>
      <c r="H23" t="str">
        <f>[1]TDSheet!H24</f>
        <v>Серия</v>
      </c>
      <c r="I23" t="str">
        <f>[1]TDSheet!I24</f>
        <v>45 19</v>
      </c>
      <c r="J23" t="str">
        <f>[1]TDSheet!J24</f>
        <v>Номер</v>
      </c>
      <c r="K23" t="str">
        <f>[1]TDSheet!K24</f>
        <v>008214</v>
      </c>
      <c r="L23" t="str">
        <f>[1]TDSheet!L24</f>
        <v>Выдан</v>
      </c>
      <c r="M23" t="str">
        <f>TEXT([1]TDSheet!M24,"ДД.ММ.ГГГГ")</f>
        <v>23.01.2019</v>
      </c>
      <c r="N23" t="str">
        <f>[1]TDSheet!N24</f>
        <v>ГУ МВД РОССИИ ПО Г. МОСКВЕ</v>
      </c>
      <c r="O23" t="str">
        <f>[1]TDSheet!O24</f>
        <v>770-063</v>
      </c>
      <c r="P23" t="str">
        <f>[1]TDSheet!P24</f>
        <v>Серия 45 19 Номер 008214,Выдан 23.01.2019 ГУ МВД РОССИИ ПО Г. МОСКВЕ</v>
      </c>
      <c r="Q23" t="str">
        <f>[1]TDSheet!Q24</f>
        <v>РОССИЯ, 121351, Москва г, ул Молодогвардейская, д. 19, к. 1, кв. 12</v>
      </c>
      <c r="R23" t="str">
        <f>[1]TDSheet!R24</f>
        <v>РОССИЯ, 121351, Москва г, ул Молодогвардейская, д. 19, к. 1, кв. 12</v>
      </c>
      <c r="S23">
        <f>[1]TDSheet!S24</f>
        <v>0</v>
      </c>
      <c r="T23" t="str">
        <f>[1]TDSheet!T24</f>
        <v>00196</v>
      </c>
      <c r="U23">
        <f>[1]TDSheet!U24</f>
        <v>0</v>
      </c>
      <c r="V23">
        <f>[1]TDSheet!V24</f>
        <v>0</v>
      </c>
      <c r="W23">
        <f>[1]TDSheet!W24</f>
        <v>0</v>
      </c>
      <c r="X23">
        <f>[1]TDSheet!X24</f>
        <v>0</v>
      </c>
      <c r="Y23">
        <f>[1]TDSheet!Y24</f>
        <v>0</v>
      </c>
      <c r="Z23" t="str">
        <f>[1]TDSheet!Z24</f>
        <v>22.09.2021</v>
      </c>
      <c r="AA23" t="str">
        <f>[1]TDSheet!AA24</f>
        <v>22/809_2021</v>
      </c>
      <c r="AB23">
        <f>[1]TDSheet!AB24</f>
        <v>0</v>
      </c>
      <c r="AC23">
        <f>[1]TDSheet!AC24</f>
        <v>0</v>
      </c>
      <c r="AD23">
        <f>[1]TDSheet!AD24</f>
        <v>0</v>
      </c>
      <c r="AE23">
        <f>[1]TDSheet!AE24</f>
        <v>0</v>
      </c>
      <c r="AF23">
        <f>[1]TDSheet!AF24</f>
        <v>0</v>
      </c>
      <c r="AG23">
        <f>[1]TDSheet!AG24</f>
        <v>0</v>
      </c>
      <c r="AH23">
        <f>[1]TDSheet!AH24</f>
        <v>0</v>
      </c>
      <c r="AI23">
        <f>[1]TDSheet!AI24</f>
        <v>0</v>
      </c>
      <c r="AJ23">
        <f>[1]TDSheet!AJ24</f>
        <v>0</v>
      </c>
      <c r="AK23">
        <f>[1]TDSheet!AK24</f>
        <v>0</v>
      </c>
      <c r="AL23">
        <f>[1]TDSheet!AL24</f>
        <v>0</v>
      </c>
      <c r="AM23">
        <f>[1]TDSheet!AM24</f>
        <v>0</v>
      </c>
      <c r="AN23">
        <f>[1]TDSheet!AN24</f>
        <v>0</v>
      </c>
      <c r="AO23">
        <f>[1]TDSheet!AO24</f>
        <v>0</v>
      </c>
      <c r="AP23">
        <f>[1]TDSheet!AP24</f>
        <v>0</v>
      </c>
      <c r="AQ23">
        <f>[1]TDSheet!AQ24</f>
        <v>0</v>
      </c>
      <c r="AR23">
        <f>[1]TDSheet!AR24</f>
        <v>0</v>
      </c>
      <c r="AS23">
        <f>[1]TDSheet!AS24</f>
        <v>0</v>
      </c>
      <c r="AT23">
        <f>[1]TDSheet!AT24</f>
        <v>0</v>
      </c>
      <c r="AU23">
        <f>[1]TDSheet!AU24</f>
        <v>0</v>
      </c>
      <c r="AV23">
        <f>[1]TDSheet!AV24</f>
        <v>0</v>
      </c>
      <c r="AW23">
        <f>[1]TDSheet!AW24</f>
        <v>0</v>
      </c>
      <c r="AX23">
        <f>[1]TDSheet!AX24</f>
        <v>0</v>
      </c>
      <c r="AY23">
        <f>[1]TDSheet!AY24</f>
        <v>0</v>
      </c>
      <c r="AZ23">
        <f>[1]TDSheet!AZ24</f>
        <v>0</v>
      </c>
      <c r="BA23" t="str">
        <f>[1]TDSheet!BA24</f>
        <v>8-916-540-65-68</v>
      </c>
      <c r="BB23" t="str">
        <f>[1]TDSheet!BB24</f>
        <v>petrov.petrov-alex2017@yandex.ru</v>
      </c>
      <c r="BC23" t="str">
        <f>[1]TDSheet!BC24</f>
        <v>40817810238119035536</v>
      </c>
      <c r="BD23" t="str">
        <f>[1]TDSheet!BD24</f>
        <v>ПАО СБЕРБАНК</v>
      </c>
      <c r="BE23" t="str">
        <f>[1]TDSheet!BE24</f>
        <v>044525225</v>
      </c>
    </row>
    <row r="24" spans="1:57" x14ac:dyDescent="0.25">
      <c r="A24" t="str">
        <f>[1]TDSheet!A25</f>
        <v>Ракитин Сергей Александрович</v>
      </c>
      <c r="B24" t="str">
        <f>[1]TDSheet!B25</f>
        <v>Кровельщик</v>
      </c>
      <c r="C24" t="str">
        <f>TEXT([1]TDSheet!C25,"ДД.ММ.ГГГГ")</f>
        <v>13.11.1981</v>
      </c>
      <c r="D24" t="str">
        <f>[1]TDSheet!D25</f>
        <v>БЕЛАРУСЬ</v>
      </c>
      <c r="E24" t="str">
        <f>[1]TDSheet!E25</f>
        <v>772423157761</v>
      </c>
      <c r="F24" t="str">
        <f>[1]TDSheet!F25</f>
        <v>198-572-533 32</v>
      </c>
      <c r="G24" t="str">
        <f>[1]TDSheet!G25</f>
        <v>Иностранный паспорт</v>
      </c>
      <c r="H24" t="str">
        <f>[1]TDSheet!H25</f>
        <v>Серия</v>
      </c>
      <c r="I24" t="str">
        <f>[1]TDSheet!I25</f>
        <v xml:space="preserve">КВ </v>
      </c>
      <c r="J24" t="str">
        <f>[1]TDSheet!J25</f>
        <v>Номер</v>
      </c>
      <c r="K24" t="str">
        <f>[1]TDSheet!K25</f>
        <v>2442503</v>
      </c>
      <c r="L24" t="str">
        <f>[1]TDSheet!L25</f>
        <v>Выдан</v>
      </c>
      <c r="M24" t="str">
        <f>TEXT([1]TDSheet!M25,"ДД.ММ.ГГГГ")</f>
        <v>13.08.2019</v>
      </c>
      <c r="N24" t="str">
        <f>[1]TDSheet!N25</f>
        <v>Октябрьское РОВД г. Могилева</v>
      </c>
      <c r="O24">
        <f>[1]TDSheet!O25</f>
        <v>0</v>
      </c>
      <c r="P24" t="str">
        <f>[1]TDSheet!P25</f>
        <v>Серия КВ  Номер 2442503,Выдан 13.08.2019 Октябрьское РОВД г. Могилева</v>
      </c>
      <c r="Q24" t="str">
        <f>[1]TDSheet!Q25</f>
        <v>РОССИЯ, Москва г, Маршала Василевского ул, дом 13, корпус 1, квартира 28</v>
      </c>
      <c r="R24" t="str">
        <f>[1]TDSheet!R25</f>
        <v>РОССИЯ, Москва г, Маршала Василевского ул, дом 13, корпус 1, квартира 28</v>
      </c>
      <c r="S24">
        <f>[1]TDSheet!S25</f>
        <v>0</v>
      </c>
      <c r="T24" t="str">
        <f>[1]TDSheet!T25</f>
        <v>00138</v>
      </c>
      <c r="U24">
        <f>[1]TDSheet!U25</f>
        <v>175</v>
      </c>
      <c r="V24" t="str">
        <f>[1]TDSheet!V25</f>
        <v>48-50</v>
      </c>
      <c r="W24">
        <f>[1]TDSheet!W25</f>
        <v>43</v>
      </c>
      <c r="X24">
        <f>[1]TDSheet!X25</f>
        <v>0</v>
      </c>
      <c r="Y24">
        <f>[1]TDSheet!Y25</f>
        <v>0</v>
      </c>
      <c r="Z24" t="str">
        <f>[1]TDSheet!Z25</f>
        <v>11.02.2021</v>
      </c>
      <c r="AA24" t="str">
        <f>[1]TDSheet!AA25</f>
        <v>11_02/6/2021</v>
      </c>
      <c r="AB24">
        <f>[1]TDSheet!AB25</f>
        <v>0</v>
      </c>
      <c r="AC24">
        <f>[1]TDSheet!AC25</f>
        <v>1</v>
      </c>
      <c r="AD24">
        <f>[1]TDSheet!AD25</f>
        <v>44238</v>
      </c>
      <c r="AE24">
        <f>[1]TDSheet!AE25</f>
        <v>0</v>
      </c>
      <c r="AF24">
        <f>[1]TDSheet!AF25</f>
        <v>0</v>
      </c>
      <c r="AG24" t="str">
        <f>[1]TDSheet!AG25</f>
        <v>не надо</v>
      </c>
      <c r="AH24" t="str">
        <f>[1]TDSheet!AH25</f>
        <v>не надо</v>
      </c>
      <c r="AI24" t="str">
        <f>[1]TDSheet!AI25</f>
        <v>не надо</v>
      </c>
      <c r="AJ24">
        <f>[1]TDSheet!AJ25</f>
        <v>1</v>
      </c>
      <c r="AK24">
        <f>[1]TDSheet!AK25</f>
        <v>44238</v>
      </c>
      <c r="AL24" t="str">
        <f>[1]TDSheet!AL25</f>
        <v>не надо</v>
      </c>
      <c r="AM24" t="str">
        <f>[1]TDSheet!AM25</f>
        <v>не надо</v>
      </c>
      <c r="AN24" t="str">
        <f>[1]TDSheet!AN25</f>
        <v>не надо</v>
      </c>
      <c r="AO24" t="str">
        <f>[1]TDSheet!AO25</f>
        <v>не надо</v>
      </c>
      <c r="AP24" t="str">
        <f>[1]TDSheet!AP25</f>
        <v>не надо</v>
      </c>
      <c r="AQ24" t="str">
        <f>[1]TDSheet!AQ25</f>
        <v>не надо</v>
      </c>
      <c r="AR24" t="str">
        <f>[1]TDSheet!AR25</f>
        <v>не надо</v>
      </c>
      <c r="AS24" t="str">
        <f>[1]TDSheet!AS25</f>
        <v>не надо</v>
      </c>
      <c r="AT24">
        <f>[1]TDSheet!AT25</f>
        <v>0</v>
      </c>
      <c r="AU24" t="str">
        <f>[1]TDSheet!AU25</f>
        <v>нет,штат</v>
      </c>
      <c r="AV24">
        <f>[1]TDSheet!AV25</f>
        <v>0</v>
      </c>
      <c r="AW24">
        <f>[1]TDSheet!AW25</f>
        <v>0</v>
      </c>
      <c r="AX24">
        <f>[1]TDSheet!AX25</f>
        <v>44241</v>
      </c>
      <c r="AY24">
        <f>[1]TDSheet!AY25</f>
        <v>0</v>
      </c>
      <c r="AZ24">
        <f>[1]TDSheet!AZ25</f>
        <v>0</v>
      </c>
      <c r="BA24" t="str">
        <f>[1]TDSheet!BA25</f>
        <v>8-999-819-84-53</v>
      </c>
      <c r="BB24" t="str">
        <f>[1]TDSheet!BB25</f>
        <v>serg33g@yandex.ru</v>
      </c>
      <c r="BC24" t="str">
        <f>[1]TDSheet!BC25</f>
        <v>40820810138187901970</v>
      </c>
      <c r="BD24" t="str">
        <f>[1]TDSheet!BD25</f>
        <v>ПАО СБЕРБАНК</v>
      </c>
      <c r="BE24" t="str">
        <f>[1]TDSheet!BE25</f>
        <v>044525225</v>
      </c>
    </row>
    <row r="25" spans="1:57" x14ac:dyDescent="0.25">
      <c r="A25" t="str">
        <f>[1]TDSheet!A26</f>
        <v>Раметов Руслан Базарбаевич</v>
      </c>
      <c r="B25" t="str">
        <f>[1]TDSheet!B26</f>
        <v>Подсобный рабочий</v>
      </c>
      <c r="C25" t="str">
        <f>TEXT([1]TDSheet!C26,"ДД.ММ.ГГГГ")</f>
        <v>22.07.1988</v>
      </c>
      <c r="D25" t="str">
        <f>[1]TDSheet!D26</f>
        <v>УЗБЕКИСТАН</v>
      </c>
      <c r="E25" t="str">
        <f>[1]TDSheet!E26</f>
        <v>667804948794</v>
      </c>
      <c r="F25" t="str">
        <f>[1]TDSheet!F26</f>
        <v>195-970-299 36</v>
      </c>
      <c r="G25" t="str">
        <f>[1]TDSheet!G26</f>
        <v>Иностранный паспорт</v>
      </c>
      <c r="H25" t="str">
        <f>[1]TDSheet!H26</f>
        <v>Серия</v>
      </c>
      <c r="I25" t="str">
        <f>[1]TDSheet!I26</f>
        <v>КА</v>
      </c>
      <c r="J25" t="str">
        <f>[1]TDSheet!J26</f>
        <v>Номер</v>
      </c>
      <c r="K25" t="str">
        <f>[1]TDSheet!K26</f>
        <v>0169971</v>
      </c>
      <c r="L25" t="str">
        <f>[1]TDSheet!L26</f>
        <v>Выдан</v>
      </c>
      <c r="M25" t="str">
        <f>TEXT([1]TDSheet!M26,"ДД.ММ.ГГГГ")</f>
        <v>06.04.2014</v>
      </c>
      <c r="N25" t="str">
        <f>[1]TDSheet!N26</f>
        <v>Государственный центр персонизации Республика Каракалпакста Канлыкульский РОВД</v>
      </c>
      <c r="O25">
        <f>[1]TDSheet!O26</f>
        <v>0</v>
      </c>
      <c r="P25" t="str">
        <f>[1]TDSheet!P26</f>
        <v>Серия КА Номер 0169971,Выдан 06.04.2014 Государственный центр персонизации Республика Каракалпакста Канлыкульский РОВД</v>
      </c>
      <c r="Q25" t="str">
        <f>[1]TDSheet!Q26</f>
        <v>РОССИЯ, 107113, Москва г, ул Сокольнический Вал, д. 1Ж, стр. 4</v>
      </c>
      <c r="R25" t="str">
        <f>[1]TDSheet!R26</f>
        <v>РОССИЯ, 107113, Москва г, ул Сокольнический Вал, д. 1Ж, стр. 4</v>
      </c>
      <c r="S25" t="str">
        <f>[1]TDSheet!S26</f>
        <v>Патент: серия 77 №2104331988 16.09.2021 Отдел внешней трудовой миграции УВМ ГУ МВД России по Москве</v>
      </c>
      <c r="T25" t="str">
        <f>[1]TDSheet!T26</f>
        <v>00198</v>
      </c>
      <c r="U25">
        <f>[1]TDSheet!U26</f>
        <v>185</v>
      </c>
      <c r="V25" t="str">
        <f>[1]TDSheet!V26</f>
        <v>48-50</v>
      </c>
      <c r="W25">
        <f>[1]TDSheet!W26</f>
        <v>42</v>
      </c>
      <c r="X25">
        <f>[1]TDSheet!X26</f>
        <v>0</v>
      </c>
      <c r="Y25">
        <f>[1]TDSheet!Y26</f>
        <v>0</v>
      </c>
      <c r="Z25" t="str">
        <f>[1]TDSheet!Z26</f>
        <v>23.09.2021</v>
      </c>
      <c r="AA25" t="str">
        <f>[1]TDSheet!AA26</f>
        <v>23/09/1_2021</v>
      </c>
      <c r="AB25">
        <f>[1]TDSheet!AB26</f>
        <v>0</v>
      </c>
      <c r="AC25">
        <f>[1]TDSheet!AC26</f>
        <v>0</v>
      </c>
      <c r="AD25">
        <f>[1]TDSheet!AD26</f>
        <v>0</v>
      </c>
      <c r="AE25">
        <f>[1]TDSheet!AE26</f>
        <v>0</v>
      </c>
      <c r="AF25">
        <f>[1]TDSheet!AF26</f>
        <v>0</v>
      </c>
      <c r="AG25" t="str">
        <f>[1]TDSheet!AG26</f>
        <v>не надо</v>
      </c>
      <c r="AH25" t="str">
        <f>[1]TDSheet!AH26</f>
        <v>не надо</v>
      </c>
      <c r="AI25" t="str">
        <f>[1]TDSheet!AI26</f>
        <v>не надо</v>
      </c>
      <c r="AJ25">
        <f>[1]TDSheet!AJ26</f>
        <v>0</v>
      </c>
      <c r="AK25">
        <f>[1]TDSheet!AK26</f>
        <v>0</v>
      </c>
      <c r="AL25" t="str">
        <f>[1]TDSheet!AL26</f>
        <v>не надо</v>
      </c>
      <c r="AM25" t="str">
        <f>[1]TDSheet!AM26</f>
        <v>не надо</v>
      </c>
      <c r="AN25" t="str">
        <f>[1]TDSheet!AN26</f>
        <v>не надо</v>
      </c>
      <c r="AO25" t="str">
        <f>[1]TDSheet!AO26</f>
        <v>не надо</v>
      </c>
      <c r="AP25" t="str">
        <f>[1]TDSheet!AP26</f>
        <v>не надо</v>
      </c>
      <c r="AQ25" t="str">
        <f>[1]TDSheet!AQ26</f>
        <v>не надо</v>
      </c>
      <c r="AR25" t="str">
        <f>[1]TDSheet!AR26</f>
        <v>не надо</v>
      </c>
      <c r="AS25" t="str">
        <f>[1]TDSheet!AS26</f>
        <v>не надо</v>
      </c>
      <c r="AT25" t="str">
        <f>[1]TDSheet!AT26</f>
        <v>не надо</v>
      </c>
      <c r="AU25" t="str">
        <f>[1]TDSheet!AU26</f>
        <v>не надо</v>
      </c>
      <c r="AV25" t="str">
        <f>[1]TDSheet!AV26</f>
        <v>не надо</v>
      </c>
      <c r="AW25">
        <f>[1]TDSheet!AW26</f>
        <v>0</v>
      </c>
      <c r="AX25">
        <f>[1]TDSheet!AX26</f>
        <v>0</v>
      </c>
      <c r="AY25">
        <f>[1]TDSheet!AY26</f>
        <v>0</v>
      </c>
      <c r="AZ25">
        <f>[1]TDSheet!AZ26</f>
        <v>0</v>
      </c>
      <c r="BA25" t="str">
        <f>[1]TDSheet!BA26</f>
        <v>8-916-385-62-42</v>
      </c>
      <c r="BB25">
        <f>[1]TDSheet!BB26</f>
        <v>0</v>
      </c>
      <c r="BC25" t="str">
        <f>[1]TDSheet!BC26</f>
        <v>40820810638120293967</v>
      </c>
      <c r="BD25" t="str">
        <f>[1]TDSheet!BD26</f>
        <v>ПАО СБЕРБАНК</v>
      </c>
      <c r="BE25" t="str">
        <f>[1]TDSheet!BE26</f>
        <v>044525225</v>
      </c>
    </row>
    <row r="26" spans="1:57" x14ac:dyDescent="0.25">
      <c r="A26" t="str">
        <f>[1]TDSheet!A27</f>
        <v>Сагийдуллаев Шарапат Омарович</v>
      </c>
      <c r="B26" t="str">
        <f>[1]TDSheet!B27</f>
        <v>Гидроизолировщик</v>
      </c>
      <c r="C26" t="str">
        <f>TEXT([1]TDSheet!C27,"ДД.ММ.ГГГГ")</f>
        <v>16.11.1987</v>
      </c>
      <c r="D26" t="str">
        <f>[1]TDSheet!D27</f>
        <v>УЗБЕКИСТАН</v>
      </c>
      <c r="E26" t="str">
        <f>[1]TDSheet!E27</f>
        <v>504725732933</v>
      </c>
      <c r="F26" t="str">
        <f>[1]TDSheet!F27</f>
        <v>206-944-369 79</v>
      </c>
      <c r="G26" t="str">
        <f>[1]TDSheet!G27</f>
        <v>Иностранный паспорт</v>
      </c>
      <c r="H26" t="str">
        <f>[1]TDSheet!H27</f>
        <v>Серия</v>
      </c>
      <c r="I26" t="str">
        <f>[1]TDSheet!I27</f>
        <v>FK</v>
      </c>
      <c r="J26" t="str">
        <f>[1]TDSheet!J27</f>
        <v>Номер</v>
      </c>
      <c r="K26" t="str">
        <f>[1]TDSheet!K27</f>
        <v>0145044</v>
      </c>
      <c r="L26" t="str">
        <f>[1]TDSheet!L27</f>
        <v>Выдан</v>
      </c>
      <c r="M26" t="str">
        <f>TEXT([1]TDSheet!M27,"ДД.ММ.ГГГГ")</f>
        <v>11.05.2021</v>
      </c>
      <c r="N26" t="str">
        <f>[1]TDSheet!N27</f>
        <v>МВД 35218</v>
      </c>
      <c r="O26">
        <f>[1]TDSheet!O27</f>
        <v>0</v>
      </c>
      <c r="P26" t="str">
        <f>[1]TDSheet!P27</f>
        <v>Серия FK Номер 0145044,Выдан 11.05.2021 МВД 35218</v>
      </c>
      <c r="Q26" t="str">
        <f>[1]TDSheet!Q27</f>
        <v>РОССИЯ, 108820, Москва г, п Мосрентген, д Мамыри, д. 3В, ком. 110</v>
      </c>
      <c r="R26" t="str">
        <f>[1]TDSheet!R27</f>
        <v>РОССИЯ, 108820, Москва г, п Мосрентген, д Мамыри, д. 3В, ком. 110</v>
      </c>
      <c r="S26" t="str">
        <f>[1]TDSheet!S27</f>
        <v>Патент: серия77№2103021430  22.07.2021 Отдел внешней трудовой миграции УВМ ГУ МВД России по Москве</v>
      </c>
      <c r="T26" t="str">
        <f>[1]TDSheet!T27</f>
        <v>00195</v>
      </c>
      <c r="U26">
        <f>[1]TDSheet!U27</f>
        <v>170</v>
      </c>
      <c r="V26" t="str">
        <f>[1]TDSheet!V27</f>
        <v>46-48</v>
      </c>
      <c r="W26">
        <f>[1]TDSheet!W27</f>
        <v>41</v>
      </c>
      <c r="X26">
        <f>[1]TDSheet!X27</f>
        <v>0</v>
      </c>
      <c r="Y26">
        <f>[1]TDSheet!Y27</f>
        <v>0</v>
      </c>
      <c r="Z26" t="str">
        <f>[1]TDSheet!Z27</f>
        <v>20.09.2020</v>
      </c>
      <c r="AA26" t="str">
        <f>[1]TDSheet!AA27</f>
        <v>20/09_2021</v>
      </c>
      <c r="AB26">
        <f>[1]TDSheet!AB27</f>
        <v>0</v>
      </c>
      <c r="AC26">
        <f>[1]TDSheet!AC27</f>
        <v>0</v>
      </c>
      <c r="AD26">
        <f>[1]TDSheet!AD27</f>
        <v>0</v>
      </c>
      <c r="AE26">
        <f>[1]TDSheet!AE27</f>
        <v>0</v>
      </c>
      <c r="AF26">
        <f>[1]TDSheet!AF27</f>
        <v>0</v>
      </c>
      <c r="AG26" t="str">
        <f>[1]TDSheet!AG27</f>
        <v>не надо</v>
      </c>
      <c r="AH26" t="str">
        <f>[1]TDSheet!AH27</f>
        <v>не надо</v>
      </c>
      <c r="AI26" t="str">
        <f>[1]TDSheet!AI27</f>
        <v>не надо</v>
      </c>
      <c r="AJ26">
        <f>[1]TDSheet!AJ27</f>
        <v>0</v>
      </c>
      <c r="AK26">
        <f>[1]TDSheet!AK27</f>
        <v>0</v>
      </c>
      <c r="AL26" t="str">
        <f>[1]TDSheet!AL27</f>
        <v>не надо</v>
      </c>
      <c r="AM26" t="str">
        <f>[1]TDSheet!AM27</f>
        <v>не надо</v>
      </c>
      <c r="AN26" t="str">
        <f>[1]TDSheet!AN27</f>
        <v>не надо</v>
      </c>
      <c r="AO26" t="str">
        <f>[1]TDSheet!AO27</f>
        <v>не надо</v>
      </c>
      <c r="AP26" t="str">
        <f>[1]TDSheet!AP27</f>
        <v>не надо</v>
      </c>
      <c r="AQ26" t="str">
        <f>[1]TDSheet!AQ27</f>
        <v>не надо</v>
      </c>
      <c r="AR26" t="str">
        <f>[1]TDSheet!AR27</f>
        <v>не надо</v>
      </c>
      <c r="AS26" t="str">
        <f>[1]TDSheet!AS27</f>
        <v>не надо</v>
      </c>
      <c r="AT26">
        <f>[1]TDSheet!AT27</f>
        <v>1</v>
      </c>
      <c r="AU26" t="str">
        <f>[1]TDSheet!AU27</f>
        <v>Изолировщик 5 разряд, 09.12.2021</v>
      </c>
      <c r="AV26">
        <f>[1]TDSheet!AV27</f>
        <v>0</v>
      </c>
      <c r="AW26" t="str">
        <f>[1]TDSheet!AW27</f>
        <v>Изолировщик 5 разряд, 09.12.2021</v>
      </c>
      <c r="AX26">
        <f>[1]TDSheet!AX27</f>
        <v>0</v>
      </c>
      <c r="AY26">
        <f>[1]TDSheet!AY27</f>
        <v>0</v>
      </c>
      <c r="AZ26">
        <f>[1]TDSheet!AZ27</f>
        <v>0</v>
      </c>
      <c r="BA26" t="str">
        <f>[1]TDSheet!BA27</f>
        <v>8-917-513-12-26</v>
      </c>
      <c r="BB26" t="str">
        <f>[1]TDSheet!BB27</f>
        <v>sharap_87_87@mail.ru</v>
      </c>
      <c r="BC26" t="str">
        <f>[1]TDSheet!BC27</f>
        <v>40820810440100116333</v>
      </c>
      <c r="BD26" t="str">
        <f>[1]TDSheet!BD27</f>
        <v>ПАО СБЕРБАНК</v>
      </c>
      <c r="BE26" t="str">
        <f>[1]TDSheet!BE27</f>
        <v>044525225</v>
      </c>
    </row>
    <row r="27" spans="1:57" x14ac:dyDescent="0.25">
      <c r="A27" t="str">
        <f>[1]TDSheet!A28</f>
        <v>Самадов Шарафиддин Эшмаматович</v>
      </c>
      <c r="B27" t="str">
        <f>[1]TDSheet!B28</f>
        <v>Подсобный рабочий</v>
      </c>
      <c r="C27" t="str">
        <f>TEXT([1]TDSheet!C28,"ДД.ММ.ГГГГ")</f>
        <v>15.07.1978</v>
      </c>
      <c r="D27" t="str">
        <f>[1]TDSheet!D28</f>
        <v>УЗБЕКИСТАН</v>
      </c>
      <c r="E27" t="str">
        <f>[1]TDSheet!E28</f>
        <v>770979271929</v>
      </c>
      <c r="F27" t="str">
        <f>[1]TDSheet!F28</f>
        <v>206-177-332 45</v>
      </c>
      <c r="G27" t="str">
        <f>[1]TDSheet!G28</f>
        <v>Иностранный паспорт</v>
      </c>
      <c r="H27" t="str">
        <f>[1]TDSheet!H28</f>
        <v>Серия</v>
      </c>
      <c r="I27" t="str">
        <f>[1]TDSheet!I28</f>
        <v>АВ</v>
      </c>
      <c r="J27" t="str">
        <f>[1]TDSheet!J28</f>
        <v>Номер</v>
      </c>
      <c r="K27" t="str">
        <f>[1]TDSheet!K28</f>
        <v>8331760</v>
      </c>
      <c r="L27" t="str">
        <f>[1]TDSheet!L28</f>
        <v>Выдан</v>
      </c>
      <c r="M27" t="str">
        <f>TEXT([1]TDSheet!M28,"ДД.ММ.ГГГГ")</f>
        <v>14.12.2017</v>
      </c>
      <c r="N27" t="str">
        <f>[1]TDSheet!N28</f>
        <v xml:space="preserve">ОВД ДЕНАУСКОГО РАЙОНА СУХАДАРЬИНСКОЙ ОБЛАСТИ </v>
      </c>
      <c r="O27">
        <f>[1]TDSheet!O28</f>
        <v>0</v>
      </c>
      <c r="P27" t="str">
        <f>[1]TDSheet!P28</f>
        <v xml:space="preserve">Серия АВ Номер 8331760,Выдан 14.12.2017 ОВД ДЕНАУСКОГО РАЙОНА СУХАДАРЬИНСКОЙ ОБЛАСТИ </v>
      </c>
      <c r="Q27" t="str">
        <f>[1]TDSheet!Q28</f>
        <v>РОССИЯ, 117335, Москва г, ул Архитектора Власова, д. 6</v>
      </c>
      <c r="R27" t="str">
        <f>[1]TDSheet!R28</f>
        <v>РОССИЯ, 117335, Москва г, ул Архитектора Власова, д. 6</v>
      </c>
      <c r="S27" t="str">
        <f>[1]TDSheet!S28</f>
        <v>Патент 77 №2105466138 от 27.10.2021 Отдел внешней трудовой миграции УВМ ГУ МВД России по Москве</v>
      </c>
      <c r="T27" t="str">
        <f>[1]TDSheet!T28</f>
        <v>00189</v>
      </c>
      <c r="U27">
        <f>[1]TDSheet!U28</f>
        <v>176</v>
      </c>
      <c r="V27">
        <f>[1]TDSheet!V28</f>
        <v>56</v>
      </c>
      <c r="W27">
        <f>[1]TDSheet!W28</f>
        <v>43</v>
      </c>
      <c r="X27">
        <f>[1]TDSheet!X28</f>
        <v>0</v>
      </c>
      <c r="Y27">
        <f>[1]TDSheet!Y28</f>
        <v>0</v>
      </c>
      <c r="Z27" t="str">
        <f>[1]TDSheet!Z28</f>
        <v>13.09.2021</v>
      </c>
      <c r="AA27" t="str">
        <f>[1]TDSheet!AA28</f>
        <v>13/09/1_2021</v>
      </c>
      <c r="AB27">
        <f>[1]TDSheet!AB28</f>
        <v>0</v>
      </c>
      <c r="AC27">
        <f>[1]TDSheet!AC28</f>
        <v>0</v>
      </c>
      <c r="AD27">
        <f>[1]TDSheet!AD28</f>
        <v>0</v>
      </c>
      <c r="AE27">
        <f>[1]TDSheet!AE28</f>
        <v>0</v>
      </c>
      <c r="AF27">
        <f>[1]TDSheet!AF28</f>
        <v>0</v>
      </c>
      <c r="AG27" t="str">
        <f>[1]TDSheet!AG28</f>
        <v>не надо</v>
      </c>
      <c r="AH27" t="str">
        <f>[1]TDSheet!AH28</f>
        <v>не надо</v>
      </c>
      <c r="AI27" t="str">
        <f>[1]TDSheet!AI28</f>
        <v>не надо</v>
      </c>
      <c r="AJ27">
        <f>[1]TDSheet!AJ28</f>
        <v>0</v>
      </c>
      <c r="AK27">
        <f>[1]TDSheet!AK28</f>
        <v>0</v>
      </c>
      <c r="AL27" t="str">
        <f>[1]TDSheet!AL28</f>
        <v>не надо</v>
      </c>
      <c r="AM27" t="str">
        <f>[1]TDSheet!AM28</f>
        <v>не надо</v>
      </c>
      <c r="AN27" t="str">
        <f>[1]TDSheet!AN28</f>
        <v>не надо</v>
      </c>
      <c r="AO27" t="str">
        <f>[1]TDSheet!AO28</f>
        <v>не надо</v>
      </c>
      <c r="AP27" t="str">
        <f>[1]TDSheet!AP28</f>
        <v>не надо</v>
      </c>
      <c r="AQ27" t="str">
        <f>[1]TDSheet!AQ28</f>
        <v>не надо</v>
      </c>
      <c r="AR27" t="str">
        <f>[1]TDSheet!AR28</f>
        <v>не надо</v>
      </c>
      <c r="AS27" t="str">
        <f>[1]TDSheet!AS28</f>
        <v>не надо</v>
      </c>
      <c r="AT27" t="str">
        <f>[1]TDSheet!AT28</f>
        <v>не надо</v>
      </c>
      <c r="AU27" t="str">
        <f>[1]TDSheet!AU28</f>
        <v>не надо</v>
      </c>
      <c r="AV27" t="str">
        <f>[1]TDSheet!AV28</f>
        <v>не надо</v>
      </c>
      <c r="AW27">
        <f>[1]TDSheet!AW28</f>
        <v>0</v>
      </c>
      <c r="AX27">
        <f>[1]TDSheet!AX28</f>
        <v>0</v>
      </c>
      <c r="AY27">
        <f>[1]TDSheet!AY28</f>
        <v>0</v>
      </c>
      <c r="AZ27">
        <f>[1]TDSheet!AZ28</f>
        <v>0</v>
      </c>
      <c r="BA27" t="str">
        <f>[1]TDSheet!BA28</f>
        <v>8-969-014-70-01</v>
      </c>
      <c r="BB27">
        <f>[1]TDSheet!BB28</f>
        <v>0</v>
      </c>
      <c r="BC27" t="str">
        <f>[1]TDSheet!BC28</f>
        <v>40820810838264455403</v>
      </c>
      <c r="BD27" t="str">
        <f>[1]TDSheet!BD28</f>
        <v>ПАО СБЕРБАНК</v>
      </c>
      <c r="BE27" t="str">
        <f>[1]TDSheet!BE28</f>
        <v>044525225</v>
      </c>
    </row>
    <row r="28" spans="1:57" x14ac:dyDescent="0.25">
      <c r="A28" t="str">
        <f>[1]TDSheet!A29</f>
        <v>Старостина Наталья Юрьевна</v>
      </c>
      <c r="B28" t="str">
        <f>[1]TDSheet!B29</f>
        <v>Аналитик</v>
      </c>
      <c r="C28" t="str">
        <f>TEXT([1]TDSheet!C29,"ДД.ММ.ГГГГ")</f>
        <v>26.12.1975</v>
      </c>
      <c r="D28" t="str">
        <f>[1]TDSheet!D29</f>
        <v>РОССИЯ</v>
      </c>
      <c r="E28" t="str">
        <f>[1]TDSheet!E29</f>
        <v>773122609896</v>
      </c>
      <c r="F28" t="str">
        <f>[1]TDSheet!F29</f>
        <v>048-738-183 98</v>
      </c>
      <c r="G28" t="str">
        <f>[1]TDSheet!G29</f>
        <v>Паспорт гражданина РФ</v>
      </c>
      <c r="H28" t="str">
        <f>[1]TDSheet!H29</f>
        <v>Серия</v>
      </c>
      <c r="I28" t="str">
        <f>[1]TDSheet!I29</f>
        <v>45 21</v>
      </c>
      <c r="J28" t="str">
        <f>[1]TDSheet!J29</f>
        <v>Номер</v>
      </c>
      <c r="K28" t="str">
        <f>[1]TDSheet!K29</f>
        <v>156717</v>
      </c>
      <c r="L28" t="str">
        <f>[1]TDSheet!L29</f>
        <v>Выдан</v>
      </c>
      <c r="M28" t="str">
        <f>TEXT([1]TDSheet!M29,"ДД.ММ.ГГГГ")</f>
        <v>09.02.2021</v>
      </c>
      <c r="N28" t="str">
        <f>[1]TDSheet!N29</f>
        <v>ГУ МВД России по г. Москве</v>
      </c>
      <c r="O28" t="str">
        <f>[1]TDSheet!O29</f>
        <v>770-063</v>
      </c>
      <c r="P28" t="str">
        <f>[1]TDSheet!P29</f>
        <v>Серия 45 21 Номер 156717,Выдан 09.02.2021 ГУ МВД России по г. Москве</v>
      </c>
      <c r="Q28" t="str">
        <f>[1]TDSheet!Q29</f>
        <v>РОССИЯ, 121351, Москва г, ул Ивана Франко, д. 32, к. 1, кв. 373</v>
      </c>
      <c r="R28" t="str">
        <f>[1]TDSheet!R29</f>
        <v>РОССИЯ, 121351, Москва г, ул Ивана Франко, д. 32, к. 1, кв. 373</v>
      </c>
      <c r="S28">
        <f>[1]TDSheet!S29</f>
        <v>0</v>
      </c>
      <c r="T28" t="str">
        <f>[1]TDSheet!T29</f>
        <v>00217</v>
      </c>
      <c r="U28">
        <f>[1]TDSheet!U29</f>
        <v>0</v>
      </c>
      <c r="V28">
        <f>[1]TDSheet!V29</f>
        <v>0</v>
      </c>
      <c r="W28">
        <f>[1]TDSheet!W29</f>
        <v>0</v>
      </c>
      <c r="X28">
        <f>[1]TDSheet!X29</f>
        <v>0</v>
      </c>
      <c r="Y28">
        <f>[1]TDSheet!Y29</f>
        <v>0</v>
      </c>
      <c r="Z28" t="str">
        <f>[1]TDSheet!Z29</f>
        <v>24.11.2021</v>
      </c>
      <c r="AA28" t="str">
        <f>[1]TDSheet!AA29</f>
        <v>24/11-3_2021</v>
      </c>
      <c r="AB28">
        <f>[1]TDSheet!AB29</f>
        <v>0</v>
      </c>
      <c r="AC28">
        <f>[1]TDSheet!AC29</f>
        <v>0</v>
      </c>
      <c r="AD28">
        <f>[1]TDSheet!AD29</f>
        <v>0</v>
      </c>
      <c r="AE28">
        <f>[1]TDSheet!AE29</f>
        <v>0</v>
      </c>
      <c r="AF28">
        <f>[1]TDSheet!AF29</f>
        <v>0</v>
      </c>
      <c r="AG28">
        <f>[1]TDSheet!AG29</f>
        <v>0</v>
      </c>
      <c r="AH28">
        <f>[1]TDSheet!AH29</f>
        <v>0</v>
      </c>
      <c r="AI28">
        <f>[1]TDSheet!AI29</f>
        <v>0</v>
      </c>
      <c r="AJ28">
        <f>[1]TDSheet!AJ29</f>
        <v>0</v>
      </c>
      <c r="AK28">
        <f>[1]TDSheet!AK29</f>
        <v>0</v>
      </c>
      <c r="AL28">
        <f>[1]TDSheet!AL29</f>
        <v>0</v>
      </c>
      <c r="AM28">
        <f>[1]TDSheet!AM29</f>
        <v>0</v>
      </c>
      <c r="AN28">
        <f>[1]TDSheet!AN29</f>
        <v>0</v>
      </c>
      <c r="AO28">
        <f>[1]TDSheet!AO29</f>
        <v>0</v>
      </c>
      <c r="AP28">
        <f>[1]TDSheet!AP29</f>
        <v>0</v>
      </c>
      <c r="AQ28">
        <f>[1]TDSheet!AQ29</f>
        <v>0</v>
      </c>
      <c r="AR28">
        <f>[1]TDSheet!AR29</f>
        <v>0</v>
      </c>
      <c r="AS28">
        <f>[1]TDSheet!AS29</f>
        <v>0</v>
      </c>
      <c r="AT28">
        <f>[1]TDSheet!AT29</f>
        <v>0</v>
      </c>
      <c r="AU28">
        <f>[1]TDSheet!AU29</f>
        <v>0</v>
      </c>
      <c r="AV28">
        <f>[1]TDSheet!AV29</f>
        <v>0</v>
      </c>
      <c r="AW28">
        <f>[1]TDSheet!AW29</f>
        <v>0</v>
      </c>
      <c r="AX28">
        <f>[1]TDSheet!AX29</f>
        <v>0</v>
      </c>
      <c r="AY28">
        <f>[1]TDSheet!AY29</f>
        <v>0</v>
      </c>
      <c r="AZ28">
        <f>[1]TDSheet!AZ29</f>
        <v>0</v>
      </c>
      <c r="BA28" t="str">
        <f>[1]TDSheet!BA29</f>
        <v>+7 (916) 604-62-89</v>
      </c>
      <c r="BB28" t="str">
        <f>[1]TDSheet!BB29</f>
        <v>ParusN14@yandex.ru</v>
      </c>
      <c r="BC28" t="str">
        <f>[1]TDSheet!BC29</f>
        <v>40817810040003948875</v>
      </c>
      <c r="BD28" t="str">
        <f>[1]TDSheet!BD29</f>
        <v>ПАО СБЕРБАНК</v>
      </c>
      <c r="BE28" t="str">
        <f>[1]TDSheet!BE29</f>
        <v>044525225</v>
      </c>
    </row>
    <row r="29" spans="1:57" x14ac:dyDescent="0.25">
      <c r="A29" t="str">
        <f>[1]TDSheet!A30</f>
        <v>Супрунова Елена Юрьевна</v>
      </c>
      <c r="B29" t="str">
        <f>[1]TDSheet!B30</f>
        <v>Заместитель генерального директора по финансам и экономике</v>
      </c>
      <c r="C29" t="str">
        <f>TEXT([1]TDSheet!C30,"ДД.ММ.ГГГГ")</f>
        <v>17.03.1982</v>
      </c>
      <c r="D29" t="str">
        <f>[1]TDSheet!D30</f>
        <v>РОССИЯ</v>
      </c>
      <c r="E29" t="str">
        <f>[1]TDSheet!E30</f>
        <v>771881605140</v>
      </c>
      <c r="F29" t="str">
        <f>[1]TDSheet!F30</f>
        <v>053-653-349 59</v>
      </c>
      <c r="G29" t="str">
        <f>[1]TDSheet!G30</f>
        <v>Паспорт гражданина РФ</v>
      </c>
      <c r="H29" t="str">
        <f>[1]TDSheet!H30</f>
        <v>Серия</v>
      </c>
      <c r="I29" t="str">
        <f>[1]TDSheet!I30</f>
        <v>46 06</v>
      </c>
      <c r="J29" t="str">
        <f>[1]TDSheet!J30</f>
        <v>Номер</v>
      </c>
      <c r="K29" t="str">
        <f>[1]TDSheet!K30</f>
        <v>519430</v>
      </c>
      <c r="L29" t="str">
        <f>[1]TDSheet!L30</f>
        <v>Выдан</v>
      </c>
      <c r="M29" t="str">
        <f>TEXT([1]TDSheet!M30,"ДД.ММ.ГГГГ")</f>
        <v>25.10.2005</v>
      </c>
      <c r="N29" t="str">
        <f>[1]TDSheet!N30</f>
        <v xml:space="preserve">Отделом внутренних дел г.Звенигорода УВД Одинцовского района Московской области </v>
      </c>
      <c r="O29" t="str">
        <f>[1]TDSheet!O30</f>
        <v>502-016</v>
      </c>
      <c r="P29" t="str">
        <f>[1]TDSheet!P30</f>
        <v xml:space="preserve">Серия 46 06 Номер 519430,Выдан 25.10.2005 Отделом внутренних дел г.Звенигорода УВД Одинцовского района Московской области </v>
      </c>
      <c r="Q29" t="str">
        <f>[1]TDSheet!Q30</f>
        <v>143057, Московская обл, Одинцовский р-н, Каринское с, дом № 9, кв.52</v>
      </c>
      <c r="R29" t="str">
        <f>[1]TDSheet!R30</f>
        <v>143057, Московская обл, Одинцовский р-н, Каринское с, дом № 9, кв.52</v>
      </c>
      <c r="S29">
        <f>[1]TDSheet!S30</f>
        <v>0</v>
      </c>
      <c r="T29" t="str">
        <f>[1]TDSheet!T30</f>
        <v>0000000014</v>
      </c>
      <c r="U29">
        <f>[1]TDSheet!U30</f>
        <v>0</v>
      </c>
      <c r="V29">
        <f>[1]TDSheet!V30</f>
        <v>0</v>
      </c>
      <c r="W29">
        <f>[1]TDSheet!W30</f>
        <v>0</v>
      </c>
      <c r="X29">
        <f>[1]TDSheet!X30</f>
        <v>0</v>
      </c>
      <c r="Y29">
        <f>[1]TDSheet!Y30</f>
        <v>0</v>
      </c>
      <c r="Z29" t="str">
        <f>[1]TDSheet!Z30</f>
        <v>01.08.2014</v>
      </c>
      <c r="AA29" t="str">
        <f>[1]TDSheet!AA30</f>
        <v>14/08/2</v>
      </c>
      <c r="AB29">
        <f>[1]TDSheet!AB30</f>
        <v>0</v>
      </c>
      <c r="AC29">
        <f>[1]TDSheet!AC30</f>
        <v>0</v>
      </c>
      <c r="AD29">
        <f>[1]TDSheet!AD30</f>
        <v>0</v>
      </c>
      <c r="AE29">
        <f>[1]TDSheet!AE30</f>
        <v>0</v>
      </c>
      <c r="AF29">
        <f>[1]TDSheet!AF30</f>
        <v>0</v>
      </c>
      <c r="AG29">
        <f>[1]TDSheet!AG30</f>
        <v>0</v>
      </c>
      <c r="AH29">
        <f>[1]TDSheet!AH30</f>
        <v>0</v>
      </c>
      <c r="AI29">
        <f>[1]TDSheet!AI30</f>
        <v>0</v>
      </c>
      <c r="AJ29">
        <f>[1]TDSheet!AJ30</f>
        <v>0</v>
      </c>
      <c r="AK29">
        <f>[1]TDSheet!AK30</f>
        <v>0</v>
      </c>
      <c r="AL29">
        <f>[1]TDSheet!AL30</f>
        <v>0</v>
      </c>
      <c r="AM29">
        <f>[1]TDSheet!AM30</f>
        <v>0</v>
      </c>
      <c r="AN29">
        <f>[1]TDSheet!AN30</f>
        <v>0</v>
      </c>
      <c r="AO29">
        <f>[1]TDSheet!AO30</f>
        <v>0</v>
      </c>
      <c r="AP29">
        <f>[1]TDSheet!AP30</f>
        <v>0</v>
      </c>
      <c r="AQ29">
        <f>[1]TDSheet!AQ30</f>
        <v>0</v>
      </c>
      <c r="AR29">
        <f>[1]TDSheet!AR30</f>
        <v>0</v>
      </c>
      <c r="AS29">
        <f>[1]TDSheet!AS30</f>
        <v>0</v>
      </c>
      <c r="AT29">
        <f>[1]TDSheet!AT30</f>
        <v>0</v>
      </c>
      <c r="AU29">
        <f>[1]TDSheet!AU30</f>
        <v>0</v>
      </c>
      <c r="AV29">
        <f>[1]TDSheet!AV30</f>
        <v>0</v>
      </c>
      <c r="AW29">
        <f>[1]TDSheet!AW30</f>
        <v>0</v>
      </c>
      <c r="AX29">
        <f>[1]TDSheet!AX30</f>
        <v>0</v>
      </c>
      <c r="AY29">
        <f>[1]TDSheet!AY30</f>
        <v>0</v>
      </c>
      <c r="AZ29">
        <f>[1]TDSheet!AZ30</f>
        <v>0</v>
      </c>
      <c r="BA29" t="str">
        <f>[1]TDSheet!BA30</f>
        <v>8-964-796-53-84</v>
      </c>
      <c r="BB29" t="str">
        <f>[1]TDSheet!BB30</f>
        <v>texnology12@gmail.com</v>
      </c>
      <c r="BC29" t="str">
        <f>[1]TDSheet!BC30</f>
        <v>40817810340016112288</v>
      </c>
      <c r="BD29" t="str">
        <f>[1]TDSheet!BD30</f>
        <v>ПАО СБЕРБАНК</v>
      </c>
      <c r="BE29" t="str">
        <f>[1]TDSheet!BE30</f>
        <v>044525225</v>
      </c>
    </row>
    <row r="30" spans="1:57" x14ac:dyDescent="0.25">
      <c r="A30" t="str">
        <f>[1]TDSheet!A31</f>
        <v>Турсинбеков Исламбек Адилбай ули</v>
      </c>
      <c r="B30" t="str">
        <f>[1]TDSheet!B31</f>
        <v>Подсобный рабочий</v>
      </c>
      <c r="C30" t="str">
        <f>TEXT([1]TDSheet!C31,"ДД.ММ.ГГГГ")</f>
        <v>12.10.1995</v>
      </c>
      <c r="D30" t="str">
        <f>[1]TDSheet!D31</f>
        <v>УЗБЕКИСТАН</v>
      </c>
      <c r="E30" t="str">
        <f>[1]TDSheet!E31</f>
        <v>504722806993</v>
      </c>
      <c r="F30" t="str">
        <f>[1]TDSheet!F31</f>
        <v>202-667-030 31</v>
      </c>
      <c r="G30" t="str">
        <f>[1]TDSheet!G31</f>
        <v>Иностранный паспорт</v>
      </c>
      <c r="H30" t="str">
        <f>[1]TDSheet!H31</f>
        <v>Серия</v>
      </c>
      <c r="I30" t="str">
        <f>[1]TDSheet!I31</f>
        <v>КА</v>
      </c>
      <c r="J30" t="str">
        <f>[1]TDSheet!J31</f>
        <v>Номер</v>
      </c>
      <c r="K30" t="str">
        <f>[1]TDSheet!K31</f>
        <v>0095007</v>
      </c>
      <c r="L30" t="str">
        <f>[1]TDSheet!L31</f>
        <v>Выдан</v>
      </c>
      <c r="M30" t="str">
        <f>TEXT([1]TDSheet!M31,"ДД.ММ.ГГГГ")</f>
        <v>19.12.2013</v>
      </c>
      <c r="N30" t="str">
        <f>[1]TDSheet!N31</f>
        <v>Государственный центр персонализации</v>
      </c>
      <c r="O30">
        <f>[1]TDSheet!O31</f>
        <v>0</v>
      </c>
      <c r="P30" t="str">
        <f>[1]TDSheet!P31</f>
        <v>Серия КА Номер 0095007,Выдан 19.12.2013 Государственный центр персонализации</v>
      </c>
      <c r="Q30" t="str">
        <f>[1]TDSheet!Q31</f>
        <v>РОССИЯ, 121500, Москва г, ул 3-я Мякининская, д. 32А</v>
      </c>
      <c r="R30" t="str">
        <f>[1]TDSheet!R31</f>
        <v>РОССИЯ, 121500, Москва г, ул 3-я Мякининская, д. 32А</v>
      </c>
      <c r="S30" t="str">
        <f>[1]TDSheet!S31</f>
        <v>Патент: серия 77 №2105803295 16.11.2021 Отдел внешней трудовой миграции УВМ ГУ МВД России по Москве</v>
      </c>
      <c r="T30" t="str">
        <f>[1]TDSheet!T31</f>
        <v>00218</v>
      </c>
      <c r="U30">
        <f>[1]TDSheet!U31</f>
        <v>185</v>
      </c>
      <c r="V30">
        <f>[1]TDSheet!V31</f>
        <v>56</v>
      </c>
      <c r="W30">
        <f>[1]TDSheet!W31</f>
        <v>44</v>
      </c>
      <c r="X30">
        <f>[1]TDSheet!X31</f>
        <v>0</v>
      </c>
      <c r="Y30">
        <f>[1]TDSheet!Y31</f>
        <v>0</v>
      </c>
      <c r="Z30" t="str">
        <f>[1]TDSheet!Z31</f>
        <v>24.11.2021</v>
      </c>
      <c r="AA30" t="str">
        <f>[1]TDSheet!AA31</f>
        <v>24/11-2_2021</v>
      </c>
      <c r="AB30">
        <f>[1]TDSheet!AB31</f>
        <v>0</v>
      </c>
      <c r="AC30">
        <f>[1]TDSheet!AC31</f>
        <v>0</v>
      </c>
      <c r="AD30">
        <f>[1]TDSheet!AD31</f>
        <v>0</v>
      </c>
      <c r="AE30">
        <f>[1]TDSheet!AE31</f>
        <v>0</v>
      </c>
      <c r="AF30">
        <f>[1]TDSheet!AF31</f>
        <v>0</v>
      </c>
      <c r="AG30" t="str">
        <f>[1]TDSheet!AG31</f>
        <v>не надо</v>
      </c>
      <c r="AH30" t="str">
        <f>[1]TDSheet!AH31</f>
        <v>не надо</v>
      </c>
      <c r="AI30" t="str">
        <f>[1]TDSheet!AI31</f>
        <v>не надо</v>
      </c>
      <c r="AJ30">
        <f>[1]TDSheet!AJ31</f>
        <v>0</v>
      </c>
      <c r="AK30">
        <f>[1]TDSheet!AK31</f>
        <v>0</v>
      </c>
      <c r="AL30" t="str">
        <f>[1]TDSheet!AL31</f>
        <v>не надо</v>
      </c>
      <c r="AM30" t="str">
        <f>[1]TDSheet!AM31</f>
        <v>не надо</v>
      </c>
      <c r="AN30" t="str">
        <f>[1]TDSheet!AN31</f>
        <v>не надо</v>
      </c>
      <c r="AO30" t="str">
        <f>[1]TDSheet!AO31</f>
        <v>не надо</v>
      </c>
      <c r="AP30" t="str">
        <f>[1]TDSheet!AP31</f>
        <v>не надо</v>
      </c>
      <c r="AQ30" t="str">
        <f>[1]TDSheet!AQ31</f>
        <v>не надо</v>
      </c>
      <c r="AR30" t="str">
        <f>[1]TDSheet!AR31</f>
        <v>не надо</v>
      </c>
      <c r="AS30" t="str">
        <f>[1]TDSheet!AS31</f>
        <v>не надо</v>
      </c>
      <c r="AT30" t="str">
        <f>[1]TDSheet!AT31</f>
        <v>не надо</v>
      </c>
      <c r="AU30" t="str">
        <f>[1]TDSheet!AU31</f>
        <v>не надо</v>
      </c>
      <c r="AV30" t="str">
        <f>[1]TDSheet!AV31</f>
        <v>не надо</v>
      </c>
      <c r="AW30">
        <f>[1]TDSheet!AW31</f>
        <v>0</v>
      </c>
      <c r="AX30">
        <f>[1]TDSheet!AX31</f>
        <v>0</v>
      </c>
      <c r="AY30">
        <f>[1]TDSheet!AY31</f>
        <v>0</v>
      </c>
      <c r="AZ30">
        <f>[1]TDSheet!AZ31</f>
        <v>0</v>
      </c>
      <c r="BA30" t="str">
        <f>[1]TDSheet!BA31</f>
        <v>8-961-158-59-39</v>
      </c>
      <c r="BB30">
        <f>[1]TDSheet!BB31</f>
        <v>0</v>
      </c>
      <c r="BC30" t="str">
        <f>[1]TDSheet!BC31</f>
        <v>40820810140011456356</v>
      </c>
      <c r="BD30" t="str">
        <f>[1]TDSheet!BD31</f>
        <v>ПАО СБЕРБАНК</v>
      </c>
      <c r="BE30" t="str">
        <f>[1]TDSheet!BE31</f>
        <v>044525225</v>
      </c>
    </row>
    <row r="31" spans="1:57" x14ac:dyDescent="0.25">
      <c r="A31" t="str">
        <f>[1]TDSheet!A32</f>
        <v>Уразбаев Рустем Шарибаевич</v>
      </c>
      <c r="B31" t="str">
        <f>[1]TDSheet!B32</f>
        <v>Подсобный рабочий</v>
      </c>
      <c r="C31" t="str">
        <f>TEXT([1]TDSheet!C32,"ДД.ММ.ГГГГ")</f>
        <v>20.01.1979</v>
      </c>
      <c r="D31" t="str">
        <f>[1]TDSheet!D32</f>
        <v>УЗБЕКИСТАН</v>
      </c>
      <c r="E31" t="str">
        <f>[1]TDSheet!E32</f>
        <v>504721805676</v>
      </c>
      <c r="F31" t="str">
        <f>[1]TDSheet!F32</f>
        <v>197-719-954 52</v>
      </c>
      <c r="G31" t="str">
        <f>[1]TDSheet!G32</f>
        <v>Иностранный паспорт</v>
      </c>
      <c r="H31" t="str">
        <f>[1]TDSheet!H32</f>
        <v>Серия</v>
      </c>
      <c r="I31" t="str">
        <f>[1]TDSheet!I32</f>
        <v>FK</v>
      </c>
      <c r="J31" t="str">
        <f>[1]TDSheet!J32</f>
        <v>Номер</v>
      </c>
      <c r="K31" t="str">
        <f>[1]TDSheet!K32</f>
        <v>0089793</v>
      </c>
      <c r="L31" t="str">
        <f>[1]TDSheet!L32</f>
        <v>Выдан</v>
      </c>
      <c r="M31" t="str">
        <f>TEXT([1]TDSheet!M32,"ДД.ММ.ГГГГ")</f>
        <v>10.02.2021</v>
      </c>
      <c r="N31" t="str">
        <f>[1]TDSheet!N32</f>
        <v xml:space="preserve">Республика Каракалпакстан </v>
      </c>
      <c r="O31" t="str">
        <f>[1]TDSheet!O32</f>
        <v>MIA35218</v>
      </c>
      <c r="P31" t="str">
        <f>[1]TDSheet!P32</f>
        <v xml:space="preserve">Серия FK Номер 0089793,Выдан 10.02.2021 Республика Каракалпакстан </v>
      </c>
      <c r="Q31" t="str">
        <f>[1]TDSheet!Q32</f>
        <v>РОССИЯ, 121500, Москва г, ул 3-я Мякининская, д. 32А</v>
      </c>
      <c r="R31" t="str">
        <f>[1]TDSheet!R32</f>
        <v>РОССИЯ, 121500, Москва г, ул 3-я Мякининская, д. 32А</v>
      </c>
      <c r="S31" t="str">
        <f>[1]TDSheet!S32</f>
        <v>Патент: серия 77 №2105803626 16.11.2021 Отдел внешней трудовой миграции УВМ ГУ МВД России по Москве</v>
      </c>
      <c r="T31" t="str">
        <f>[1]TDSheet!T32</f>
        <v>00215</v>
      </c>
      <c r="U31">
        <f>[1]TDSheet!U32</f>
        <v>175</v>
      </c>
      <c r="V31">
        <f>[1]TDSheet!V32</f>
        <v>45</v>
      </c>
      <c r="W31">
        <f>[1]TDSheet!W32</f>
        <v>42</v>
      </c>
      <c r="X31">
        <f>[1]TDSheet!X32</f>
        <v>0</v>
      </c>
      <c r="Y31">
        <f>[1]TDSheet!Y32</f>
        <v>0</v>
      </c>
      <c r="Z31" t="str">
        <f>[1]TDSheet!Z32</f>
        <v>24.11.2021</v>
      </c>
      <c r="AA31" t="str">
        <f>[1]TDSheet!AA32</f>
        <v>24/11-1_2021</v>
      </c>
      <c r="AB31">
        <f>[1]TDSheet!AB32</f>
        <v>0</v>
      </c>
      <c r="AC31">
        <f>[1]TDSheet!AC32</f>
        <v>0</v>
      </c>
      <c r="AD31">
        <f>[1]TDSheet!AD32</f>
        <v>0</v>
      </c>
      <c r="AE31">
        <f>[1]TDSheet!AE32</f>
        <v>0</v>
      </c>
      <c r="AF31">
        <f>[1]TDSheet!AF32</f>
        <v>0</v>
      </c>
      <c r="AG31" t="str">
        <f>[1]TDSheet!AG32</f>
        <v>не надо</v>
      </c>
      <c r="AH31" t="str">
        <f>[1]TDSheet!AH32</f>
        <v>не надо</v>
      </c>
      <c r="AI31" t="str">
        <f>[1]TDSheet!AI32</f>
        <v>не надо</v>
      </c>
      <c r="AJ31">
        <f>[1]TDSheet!AJ32</f>
        <v>0</v>
      </c>
      <c r="AK31">
        <f>[1]TDSheet!AK32</f>
        <v>0</v>
      </c>
      <c r="AL31" t="str">
        <f>[1]TDSheet!AL32</f>
        <v>не надо</v>
      </c>
      <c r="AM31" t="str">
        <f>[1]TDSheet!AM32</f>
        <v>не надо</v>
      </c>
      <c r="AN31" t="str">
        <f>[1]TDSheet!AN32</f>
        <v>не надо</v>
      </c>
      <c r="AO31" t="str">
        <f>[1]TDSheet!AO32</f>
        <v>не надо</v>
      </c>
      <c r="AP31" t="str">
        <f>[1]TDSheet!AP32</f>
        <v>не надо</v>
      </c>
      <c r="AQ31" t="str">
        <f>[1]TDSheet!AQ32</f>
        <v>не надо</v>
      </c>
      <c r="AR31" t="str">
        <f>[1]TDSheet!AR32</f>
        <v>не надо</v>
      </c>
      <c r="AS31" t="str">
        <f>[1]TDSheet!AS32</f>
        <v>не надо</v>
      </c>
      <c r="AT31" t="str">
        <f>[1]TDSheet!AT32</f>
        <v>не надо</v>
      </c>
      <c r="AU31" t="str">
        <f>[1]TDSheet!AU32</f>
        <v>не надо</v>
      </c>
      <c r="AV31" t="str">
        <f>[1]TDSheet!AV32</f>
        <v>не надо</v>
      </c>
      <c r="AW31">
        <f>[1]TDSheet!AW32</f>
        <v>0</v>
      </c>
      <c r="AX31">
        <f>[1]TDSheet!AX32</f>
        <v>0</v>
      </c>
      <c r="AY31">
        <f>[1]TDSheet!AY32</f>
        <v>0</v>
      </c>
      <c r="AZ31">
        <f>[1]TDSheet!AZ32</f>
        <v>0</v>
      </c>
      <c r="BA31" t="str">
        <f>[1]TDSheet!BA32</f>
        <v>8-964-504-46-17</v>
      </c>
      <c r="BB31">
        <f>[1]TDSheet!BB32</f>
        <v>0</v>
      </c>
      <c r="BC31" t="str">
        <f>[1]TDSheet!BC32</f>
        <v>40820810440011281386</v>
      </c>
      <c r="BD31" t="str">
        <f>[1]TDSheet!BD32</f>
        <v>ПАО СБЕРБАНК</v>
      </c>
      <c r="BE31" t="str">
        <f>[1]TDSheet!BE32</f>
        <v>044525225</v>
      </c>
    </row>
    <row r="32" spans="1:57" x14ac:dyDescent="0.25">
      <c r="A32" t="str">
        <f>[1]TDSheet!A33</f>
        <v>Федорова Дарья Александровна</v>
      </c>
      <c r="B32" t="str">
        <f>[1]TDSheet!B33</f>
        <v>Техник ПТО</v>
      </c>
      <c r="C32" t="str">
        <f>TEXT([1]TDSheet!C33,"ДД.ММ.ГГГГ")</f>
        <v>15.03.2000</v>
      </c>
      <c r="D32" t="str">
        <f>[1]TDSheet!D33</f>
        <v>РОССИЯ</v>
      </c>
      <c r="E32" t="str">
        <f>[1]TDSheet!E33</f>
        <v>366233282098</v>
      </c>
      <c r="F32" t="str">
        <f>[1]TDSheet!F33</f>
        <v>159-393-837 22</v>
      </c>
      <c r="G32" t="str">
        <f>[1]TDSheet!G33</f>
        <v>Паспорт гражданина РФ</v>
      </c>
      <c r="H32" t="str">
        <f>[1]TDSheet!H33</f>
        <v>Серия</v>
      </c>
      <c r="I32" t="str">
        <f>[1]TDSheet!I33</f>
        <v>45 19</v>
      </c>
      <c r="J32" t="str">
        <f>[1]TDSheet!J33</f>
        <v>Номер</v>
      </c>
      <c r="K32" t="str">
        <f>[1]TDSheet!K33</f>
        <v>664321</v>
      </c>
      <c r="L32" t="str">
        <f>[1]TDSheet!L33</f>
        <v>Выдан</v>
      </c>
      <c r="M32" t="str">
        <f>TEXT([1]TDSheet!M33,"ДД.ММ.ГГГГ")</f>
        <v>26.03.2020</v>
      </c>
      <c r="N32" t="str">
        <f>[1]TDSheet!N33</f>
        <v>ГУ МВД РОССИИ ПО Г.МОСКВЕ</v>
      </c>
      <c r="O32" t="str">
        <f>[1]TDSheet!O33</f>
        <v>770-089</v>
      </c>
      <c r="P32" t="str">
        <f>[1]TDSheet!P33</f>
        <v>Серия 45 19 Номер 664321,Выдан 26.03.2020 ГУ МВД РОССИИ ПО Г.МОСКВЕ</v>
      </c>
      <c r="Q32" t="str">
        <f>[1]TDSheet!Q33</f>
        <v>РОССИЯ, 394005, Воронежская обл, г Воронеж, ул Мордасовой, д. 3, кв. 36</v>
      </c>
      <c r="R32" t="str">
        <f>[1]TDSheet!R33</f>
        <v>РОССИЯ, 394005, Воронежская обл, г Воронеж, ул Мордасовой, д. 3, кв. 36</v>
      </c>
      <c r="S32">
        <f>[1]TDSheet!S33</f>
        <v>0</v>
      </c>
      <c r="T32" t="str">
        <f>[1]TDSheet!T33</f>
        <v>00185</v>
      </c>
      <c r="U32">
        <f>[1]TDSheet!U33</f>
        <v>0</v>
      </c>
      <c r="V32">
        <f>[1]TDSheet!V33</f>
        <v>0</v>
      </c>
      <c r="W32">
        <f>[1]TDSheet!W33</f>
        <v>0</v>
      </c>
      <c r="X32">
        <f>[1]TDSheet!X33</f>
        <v>0</v>
      </c>
      <c r="Y32">
        <f>[1]TDSheet!Y33</f>
        <v>0</v>
      </c>
      <c r="Z32" t="str">
        <f>[1]TDSheet!Z33</f>
        <v>27.08.2021</v>
      </c>
      <c r="AA32" t="str">
        <f>[1]TDSheet!AA33</f>
        <v>27/08_2021</v>
      </c>
      <c r="AB32">
        <f>[1]TDSheet!AB33</f>
        <v>0</v>
      </c>
      <c r="AC32">
        <f>[1]TDSheet!AC33</f>
        <v>0</v>
      </c>
      <c r="AD32">
        <f>[1]TDSheet!AD33</f>
        <v>0</v>
      </c>
      <c r="AE32">
        <f>[1]TDSheet!AE33</f>
        <v>0</v>
      </c>
      <c r="AF32">
        <f>[1]TDSheet!AF33</f>
        <v>0</v>
      </c>
      <c r="AG32">
        <f>[1]TDSheet!AG33</f>
        <v>0</v>
      </c>
      <c r="AH32">
        <f>[1]TDSheet!AH33</f>
        <v>0</v>
      </c>
      <c r="AI32">
        <f>[1]TDSheet!AI33</f>
        <v>0</v>
      </c>
      <c r="AJ32">
        <f>[1]TDSheet!AJ33</f>
        <v>0</v>
      </c>
      <c r="AK32">
        <f>[1]TDSheet!AK33</f>
        <v>0</v>
      </c>
      <c r="AL32">
        <f>[1]TDSheet!AL33</f>
        <v>0</v>
      </c>
      <c r="AM32">
        <f>[1]TDSheet!AM33</f>
        <v>0</v>
      </c>
      <c r="AN32">
        <f>[1]TDSheet!AN33</f>
        <v>0</v>
      </c>
      <c r="AO32">
        <f>[1]TDSheet!AO33</f>
        <v>0</v>
      </c>
      <c r="AP32">
        <f>[1]TDSheet!AP33</f>
        <v>0</v>
      </c>
      <c r="AQ32">
        <f>[1]TDSheet!AQ33</f>
        <v>0</v>
      </c>
      <c r="AR32">
        <f>[1]TDSheet!AR33</f>
        <v>0</v>
      </c>
      <c r="AS32">
        <f>[1]TDSheet!AS33</f>
        <v>0</v>
      </c>
      <c r="AT32">
        <f>[1]TDSheet!AT33</f>
        <v>0</v>
      </c>
      <c r="AU32">
        <f>[1]TDSheet!AU33</f>
        <v>0</v>
      </c>
      <c r="AV32">
        <f>[1]TDSheet!AV33</f>
        <v>0</v>
      </c>
      <c r="AW32">
        <f>[1]TDSheet!AW33</f>
        <v>0</v>
      </c>
      <c r="AX32">
        <f>[1]TDSheet!AX33</f>
        <v>0</v>
      </c>
      <c r="AY32">
        <f>[1]TDSheet!AY33</f>
        <v>0</v>
      </c>
      <c r="AZ32">
        <f>[1]TDSheet!AZ33</f>
        <v>0</v>
      </c>
      <c r="BA32" t="str">
        <f>[1]TDSheet!BA33</f>
        <v>8-905-657-22-53</v>
      </c>
      <c r="BB32" t="str">
        <f>[1]TDSheet!BB33</f>
        <v>fedorova.da1503@yandex.ru</v>
      </c>
      <c r="BC32" t="str">
        <f>[1]TDSheet!BC33</f>
        <v>40817810713005381901</v>
      </c>
      <c r="BD32" t="str">
        <f>[1]TDSheet!BD33</f>
        <v>ПАО СБЕРБАНК</v>
      </c>
      <c r="BE32" t="str">
        <f>[1]TDSheet!BE33</f>
        <v>044525225</v>
      </c>
    </row>
    <row r="33" spans="1:57" x14ac:dyDescent="0.25">
      <c r="A33" t="str">
        <f>[1]TDSheet!A34</f>
        <v>Хлань Алексей Юрьевич</v>
      </c>
      <c r="B33" t="str">
        <f>[1]TDSheet!B34</f>
        <v>Производитель работ</v>
      </c>
      <c r="C33" t="str">
        <f>TEXT([1]TDSheet!C34,"ДД.ММ.ГГГГ")</f>
        <v>19.02.1987</v>
      </c>
      <c r="D33" t="str">
        <f>[1]TDSheet!D34</f>
        <v>БЕЛАРУСЬ</v>
      </c>
      <c r="E33" t="str">
        <f>[1]TDSheet!E34</f>
        <v>772423157440</v>
      </c>
      <c r="F33" t="str">
        <f>[1]TDSheet!F34</f>
        <v>170-987-967 31</v>
      </c>
      <c r="G33" t="str">
        <f>[1]TDSheet!G34</f>
        <v>Иностранный паспорт</v>
      </c>
      <c r="H33" t="str">
        <f>[1]TDSheet!H34</f>
        <v>Серия</v>
      </c>
      <c r="I33" t="str">
        <f>[1]TDSheet!I34</f>
        <v>KB</v>
      </c>
      <c r="J33" t="str">
        <f>[1]TDSheet!J34</f>
        <v>Номер</v>
      </c>
      <c r="K33" t="str">
        <f>[1]TDSheet!K34</f>
        <v>1817295</v>
      </c>
      <c r="L33" t="str">
        <f>[1]TDSheet!L34</f>
        <v>Выдан</v>
      </c>
      <c r="M33" t="str">
        <f>TEXT([1]TDSheet!M34,"ДД.ММ.ГГГГ")</f>
        <v>09.02.2012</v>
      </c>
      <c r="N33" t="str">
        <f>[1]TDSheet!N34</f>
        <v>ОКТЯБРЬСКИМ РОВД Г. МОГИЛЕВА</v>
      </c>
      <c r="O33">
        <f>[1]TDSheet!O34</f>
        <v>0</v>
      </c>
      <c r="P33" t="str">
        <f>[1]TDSheet!P34</f>
        <v>Серия KB Номер 1817295,Выдан 09.02.2012 ОКТЯБРЬСКИМ РОВД Г. МОГИЛЕВА</v>
      </c>
      <c r="Q33" t="str">
        <f>[1]TDSheet!Q34</f>
        <v>РОССИЯ, Москва г, Маршала Василевского ул, дом 13, корпус 1, квартира 28</v>
      </c>
      <c r="R33" t="str">
        <f>[1]TDSheet!R34</f>
        <v>РОССИЯ, Москва г, Маршала Василевского ул, дом 13, корпус 1, квартира 28</v>
      </c>
      <c r="S33">
        <f>[1]TDSheet!S34</f>
        <v>0</v>
      </c>
      <c r="T33" t="str">
        <f>[1]TDSheet!T34</f>
        <v>00132</v>
      </c>
      <c r="U33">
        <f>[1]TDSheet!U34</f>
        <v>187</v>
      </c>
      <c r="V33" t="str">
        <f>[1]TDSheet!V34</f>
        <v>48-50</v>
      </c>
      <c r="W33">
        <f>[1]TDSheet!W34</f>
        <v>43</v>
      </c>
      <c r="X33">
        <f>[1]TDSheet!X34</f>
        <v>0</v>
      </c>
      <c r="Y33">
        <f>[1]TDSheet!Y34</f>
        <v>0</v>
      </c>
      <c r="Z33" t="str">
        <f>[1]TDSheet!Z34</f>
        <v>11.02.2021</v>
      </c>
      <c r="AA33" t="str">
        <f>[1]TDSheet!AA34</f>
        <v>11_02/2021</v>
      </c>
      <c r="AB33">
        <f>[1]TDSheet!AB34</f>
        <v>0</v>
      </c>
      <c r="AC33">
        <f>[1]TDSheet!AC34</f>
        <v>1</v>
      </c>
      <c r="AD33">
        <f>[1]TDSheet!AD34</f>
        <v>44244</v>
      </c>
      <c r="AE33">
        <f>[1]TDSheet!AE34</f>
        <v>1</v>
      </c>
      <c r="AF33">
        <f>[1]TDSheet!AF34</f>
        <v>44431</v>
      </c>
      <c r="AG33">
        <f>[1]TDSheet!AG34</f>
        <v>1</v>
      </c>
      <c r="AH33">
        <f>[1]TDSheet!AH34</f>
        <v>44251</v>
      </c>
      <c r="AI33">
        <f>[1]TDSheet!AI34</f>
        <v>0</v>
      </c>
      <c r="AJ33">
        <f>[1]TDSheet!AJ34</f>
        <v>1</v>
      </c>
      <c r="AK33">
        <f>[1]TDSheet!AK34</f>
        <v>44243</v>
      </c>
      <c r="AL33" t="str">
        <f>[1]TDSheet!AL34</f>
        <v>не надо</v>
      </c>
      <c r="AM33" t="str">
        <f>[1]TDSheet!AM34</f>
        <v>не надо</v>
      </c>
      <c r="AN33" t="str">
        <f>[1]TDSheet!AN34</f>
        <v>не надо</v>
      </c>
      <c r="AO33" t="str">
        <f>[1]TDSheet!AO34</f>
        <v>не надо</v>
      </c>
      <c r="AP33" t="str">
        <f>[1]TDSheet!AP34</f>
        <v>не надо</v>
      </c>
      <c r="AQ33" t="str">
        <f>[1]TDSheet!AQ34</f>
        <v>не надо</v>
      </c>
      <c r="AR33" t="str">
        <f>[1]TDSheet!AR34</f>
        <v>не надо</v>
      </c>
      <c r="AS33" t="str">
        <f>[1]TDSheet!AS34</f>
        <v>не надо</v>
      </c>
      <c r="AT33">
        <f>[1]TDSheet!AT34</f>
        <v>1</v>
      </c>
      <c r="AU33">
        <f>[1]TDSheet!AU34</f>
        <v>44410</v>
      </c>
      <c r="AV33">
        <f>[1]TDSheet!AV34</f>
        <v>44525</v>
      </c>
      <c r="AW33">
        <f>[1]TDSheet!AW34</f>
        <v>0</v>
      </c>
      <c r="AX33">
        <f>[1]TDSheet!AX34</f>
        <v>44241</v>
      </c>
      <c r="AY33">
        <f>[1]TDSheet!AY34</f>
        <v>0</v>
      </c>
      <c r="AZ33">
        <f>[1]TDSheet!AZ34</f>
        <v>0</v>
      </c>
      <c r="BA33" t="str">
        <f>[1]TDSheet!BA34</f>
        <v>8-910-464-52-34</v>
      </c>
      <c r="BB33" t="str">
        <f>[1]TDSheet!BB34</f>
        <v>lexa19021987@gmail.com</v>
      </c>
      <c r="BC33" t="str">
        <f>[1]TDSheet!BC34</f>
        <v>40820810240000337030</v>
      </c>
      <c r="BD33" t="str">
        <f>[1]TDSheet!BD34</f>
        <v>ПАО СБЕРБАНК</v>
      </c>
      <c r="BE33" t="str">
        <f>[1]TDSheet!BE34</f>
        <v>044525225</v>
      </c>
    </row>
    <row r="34" spans="1:57" x14ac:dyDescent="0.25">
      <c r="A34" t="str">
        <f>[1]TDSheet!A35</f>
        <v>Холов Сангали Махмадюнусович</v>
      </c>
      <c r="B34" t="str">
        <f>[1]TDSheet!B35</f>
        <v>Подсобный рабочий</v>
      </c>
      <c r="C34" t="str">
        <f>TEXT([1]TDSheet!C35,"ДД.ММ.ГГГГ")</f>
        <v>10.01.1996</v>
      </c>
      <c r="D34" t="str">
        <f>[1]TDSheet!D35</f>
        <v>ТАДЖИКИСТАН</v>
      </c>
      <c r="E34" t="str">
        <f>[1]TDSheet!E35</f>
        <v>502809392976</v>
      </c>
      <c r="F34" t="str">
        <f>[1]TDSheet!F35</f>
        <v>200-196-268 18</v>
      </c>
      <c r="G34" t="str">
        <f>[1]TDSheet!G35</f>
        <v>Иностранный паспорт</v>
      </c>
      <c r="H34" t="str">
        <f>[1]TDSheet!H35</f>
        <v>Серия</v>
      </c>
      <c r="I34">
        <f>[1]TDSheet!I35</f>
        <v>0</v>
      </c>
      <c r="J34" t="str">
        <f>[1]TDSheet!J35</f>
        <v>Номер</v>
      </c>
      <c r="K34" t="str">
        <f>[1]TDSheet!K35</f>
        <v>401424053</v>
      </c>
      <c r="L34" t="str">
        <f>[1]TDSheet!L35</f>
        <v>Выдан</v>
      </c>
      <c r="M34" t="str">
        <f>TEXT([1]TDSheet!M35,"ДД.ММ.ГГГГ")</f>
        <v>20.03.2017</v>
      </c>
      <c r="N34" t="str">
        <f>[1]TDSheet!N35</f>
        <v>ПРС В А. ДЖАМИ ОВД В А. ДЖАМИ</v>
      </c>
      <c r="O34">
        <f>[1]TDSheet!O35</f>
        <v>0</v>
      </c>
      <c r="P34" t="str">
        <f>[1]TDSheet!P35</f>
        <v>Серия  Номер 401424053,Выдан 20.03.2017 ПРС В А. ДЖАМИ ОВД В А. ДЖАМИ</v>
      </c>
      <c r="Q34" t="str">
        <f>[1]TDSheet!Q35</f>
        <v>РОССИЯ, 125424, Москва г, ул Тушинская, д. 24, стр. 4</v>
      </c>
      <c r="R34" t="str">
        <f>[1]TDSheet!R35</f>
        <v>РОССИЯ, 125424, Москва г, ул Тушинская, д. 24, стр. 4</v>
      </c>
      <c r="S34" t="str">
        <f>[1]TDSheet!S35</f>
        <v>Патент: серия 77 номер 2103695661 от 23.08.2021 Отдел внешней трудовой миграции УВМ ГУ МВД России по Москве</v>
      </c>
      <c r="T34" t="str">
        <f>[1]TDSheet!T35</f>
        <v>00192</v>
      </c>
      <c r="U34">
        <f>[1]TDSheet!U35</f>
        <v>175</v>
      </c>
      <c r="V34">
        <f>[1]TDSheet!V35</f>
        <v>48</v>
      </c>
      <c r="W34">
        <f>[1]TDSheet!W35</f>
        <v>43</v>
      </c>
      <c r="X34">
        <f>[1]TDSheet!X35</f>
        <v>0</v>
      </c>
      <c r="Y34">
        <f>[1]TDSheet!Y35</f>
        <v>0</v>
      </c>
      <c r="Z34" t="str">
        <f>[1]TDSheet!Z35</f>
        <v>15.09.2021</v>
      </c>
      <c r="AA34" t="str">
        <f>[1]TDSheet!AA35</f>
        <v>15/09/1_2021</v>
      </c>
      <c r="AB34">
        <f>[1]TDSheet!AB35</f>
        <v>0</v>
      </c>
      <c r="AC34">
        <f>[1]TDSheet!AC35</f>
        <v>0</v>
      </c>
      <c r="AD34">
        <f>[1]TDSheet!AD35</f>
        <v>0</v>
      </c>
      <c r="AE34">
        <f>[1]TDSheet!AE35</f>
        <v>0</v>
      </c>
      <c r="AF34">
        <f>[1]TDSheet!AF35</f>
        <v>0</v>
      </c>
      <c r="AG34" t="str">
        <f>[1]TDSheet!AG35</f>
        <v>не надо</v>
      </c>
      <c r="AH34" t="str">
        <f>[1]TDSheet!AH35</f>
        <v>не надо</v>
      </c>
      <c r="AI34" t="str">
        <f>[1]TDSheet!AI35</f>
        <v>не надо</v>
      </c>
      <c r="AJ34">
        <f>[1]TDSheet!AJ35</f>
        <v>0</v>
      </c>
      <c r="AK34">
        <f>[1]TDSheet!AK35</f>
        <v>0</v>
      </c>
      <c r="AL34" t="str">
        <f>[1]TDSheet!AL35</f>
        <v>не надо</v>
      </c>
      <c r="AM34" t="str">
        <f>[1]TDSheet!AM35</f>
        <v>не надо</v>
      </c>
      <c r="AN34" t="str">
        <f>[1]TDSheet!AN35</f>
        <v>не надо</v>
      </c>
      <c r="AO34" t="str">
        <f>[1]TDSheet!AO35</f>
        <v>не надо</v>
      </c>
      <c r="AP34" t="str">
        <f>[1]TDSheet!AP35</f>
        <v>не надо</v>
      </c>
      <c r="AQ34" t="str">
        <f>[1]TDSheet!AQ35</f>
        <v>не надо</v>
      </c>
      <c r="AR34" t="str">
        <f>[1]TDSheet!AR35</f>
        <v>не надо</v>
      </c>
      <c r="AS34" t="str">
        <f>[1]TDSheet!AS35</f>
        <v>не надо</v>
      </c>
      <c r="AT34" t="str">
        <f>[1]TDSheet!AT35</f>
        <v>не надо</v>
      </c>
      <c r="AU34" t="str">
        <f>[1]TDSheet!AU35</f>
        <v>не надо</v>
      </c>
      <c r="AV34" t="str">
        <f>[1]TDSheet!AV35</f>
        <v>не надо</v>
      </c>
      <c r="AW34">
        <f>[1]TDSheet!AW35</f>
        <v>0</v>
      </c>
      <c r="AX34">
        <f>[1]TDSheet!AX35</f>
        <v>0</v>
      </c>
      <c r="AY34">
        <f>[1]TDSheet!AY35</f>
        <v>0</v>
      </c>
      <c r="AZ34">
        <f>[1]TDSheet!AZ35</f>
        <v>0</v>
      </c>
      <c r="BA34" t="str">
        <f>[1]TDSheet!BA35</f>
        <v>8-925-588-75-25</v>
      </c>
      <c r="BB34">
        <f>[1]TDSheet!BB35</f>
        <v>0</v>
      </c>
      <c r="BC34" t="str">
        <f>[1]TDSheet!BC35</f>
        <v>40820810240011455943</v>
      </c>
      <c r="BD34" t="str">
        <f>[1]TDSheet!BD35</f>
        <v>ПАО СБЕРБАНК</v>
      </c>
      <c r="BE34" t="str">
        <f>[1]TDSheet!BE35</f>
        <v>044525225</v>
      </c>
    </row>
    <row r="35" spans="1:57" x14ac:dyDescent="0.25">
      <c r="A35" t="str">
        <f>[1]TDSheet!A36</f>
        <v>Шуберт Юрий Станиславович</v>
      </c>
      <c r="B35" t="str">
        <f>[1]TDSheet!B36</f>
        <v>Кровельщик</v>
      </c>
      <c r="C35" t="str">
        <f>TEXT([1]TDSheet!C36,"ДД.ММ.ГГГГ")</f>
        <v>29.01.1975</v>
      </c>
      <c r="D35" t="str">
        <f>[1]TDSheet!D36</f>
        <v>БЕЛАРУСЬ</v>
      </c>
      <c r="E35" t="str">
        <f>[1]TDSheet!E36</f>
        <v>770877294980</v>
      </c>
      <c r="F35" t="str">
        <f>[1]TDSheet!F36</f>
        <v>205-708-119 40</v>
      </c>
      <c r="G35" t="str">
        <f>[1]TDSheet!G36</f>
        <v>Иностранный паспорт</v>
      </c>
      <c r="H35" t="str">
        <f>[1]TDSheet!H36</f>
        <v>Серия</v>
      </c>
      <c r="I35" t="str">
        <f>[1]TDSheet!I36</f>
        <v>КВ</v>
      </c>
      <c r="J35" t="str">
        <f>[1]TDSheet!J36</f>
        <v>Номер</v>
      </c>
      <c r="K35" t="str">
        <f>[1]TDSheet!K36</f>
        <v>2459689</v>
      </c>
      <c r="L35" t="str">
        <f>[1]TDSheet!L36</f>
        <v>Выдан</v>
      </c>
      <c r="M35" t="str">
        <f>TEXT([1]TDSheet!M36,"ДД.ММ.ГГГГ")</f>
        <v>19.11.2019</v>
      </c>
      <c r="N35" t="str">
        <f>[1]TDSheet!N36</f>
        <v>ЧАУССКИЙ РОВД МОГИЛЕВСКОЙ ОБЛАСТИ</v>
      </c>
      <c r="O35">
        <f>[1]TDSheet!O36</f>
        <v>0</v>
      </c>
      <c r="P35" t="str">
        <f>[1]TDSheet!P36</f>
        <v>Серия КВ Номер 2459689,Выдан 19.11.2019 ЧАУССКИЙ РОВД МОГИЛЕВСКОЙ ОБЛАСТИ</v>
      </c>
      <c r="Q35" t="str">
        <f>[1]TDSheet!Q36</f>
        <v>РОССИЯ, 107140, Москва г, проезд Комсомольской Площади, д. 16</v>
      </c>
      <c r="R35" t="str">
        <f>[1]TDSheet!R36</f>
        <v>РОССИЯ, 107140, Москва г, проезд Комсомольской Площади, д. 16</v>
      </c>
      <c r="S35">
        <f>[1]TDSheet!S36</f>
        <v>0</v>
      </c>
      <c r="T35" t="str">
        <f>[1]TDSheet!T36</f>
        <v>00170</v>
      </c>
      <c r="U35">
        <f>[1]TDSheet!U36</f>
        <v>180</v>
      </c>
      <c r="V35">
        <f>[1]TDSheet!V36</f>
        <v>50</v>
      </c>
      <c r="W35">
        <f>[1]TDSheet!W36</f>
        <v>43</v>
      </c>
      <c r="X35">
        <f>[1]TDSheet!X36</f>
        <v>0</v>
      </c>
      <c r="Y35">
        <f>[1]TDSheet!Y36</f>
        <v>0</v>
      </c>
      <c r="Z35" t="str">
        <f>[1]TDSheet!Z36</f>
        <v>16.07.2021</v>
      </c>
      <c r="AA35" t="str">
        <f>[1]TDSheet!AA36</f>
        <v>16/07_2021</v>
      </c>
      <c r="AB35">
        <f>[1]TDSheet!AB36</f>
        <v>0</v>
      </c>
      <c r="AC35">
        <f>[1]TDSheet!AC36</f>
        <v>0</v>
      </c>
      <c r="AD35">
        <f>[1]TDSheet!AD36</f>
        <v>0</v>
      </c>
      <c r="AE35">
        <f>[1]TDSheet!AE36</f>
        <v>0</v>
      </c>
      <c r="AF35">
        <f>[1]TDSheet!AF36</f>
        <v>0</v>
      </c>
      <c r="AG35" t="str">
        <f>[1]TDSheet!AG36</f>
        <v>не надо</v>
      </c>
      <c r="AH35" t="str">
        <f>[1]TDSheet!AH36</f>
        <v>не надо</v>
      </c>
      <c r="AI35" t="str">
        <f>[1]TDSheet!AI36</f>
        <v>не надо</v>
      </c>
      <c r="AJ35">
        <f>[1]TDSheet!AJ36</f>
        <v>0</v>
      </c>
      <c r="AK35">
        <f>[1]TDSheet!AK36</f>
        <v>0</v>
      </c>
      <c r="AL35" t="str">
        <f>[1]TDSheet!AL36</f>
        <v>не надо</v>
      </c>
      <c r="AM35" t="str">
        <f>[1]TDSheet!AM36</f>
        <v>не надо</v>
      </c>
      <c r="AN35" t="str">
        <f>[1]TDSheet!AN36</f>
        <v>не надо</v>
      </c>
      <c r="AO35" t="str">
        <f>[1]TDSheet!AO36</f>
        <v>не надо</v>
      </c>
      <c r="AP35" t="str">
        <f>[1]TDSheet!AP36</f>
        <v>не надо</v>
      </c>
      <c r="AQ35" t="str">
        <f>[1]TDSheet!AQ36</f>
        <v>не надо</v>
      </c>
      <c r="AR35" t="str">
        <f>[1]TDSheet!AR36</f>
        <v>не надо</v>
      </c>
      <c r="AS35" t="str">
        <f>[1]TDSheet!AS36</f>
        <v>не надо</v>
      </c>
      <c r="AT35">
        <f>[1]TDSheet!AT36</f>
        <v>0</v>
      </c>
      <c r="AU35" t="str">
        <f>[1]TDSheet!AU36</f>
        <v>нет,штат</v>
      </c>
      <c r="AV35">
        <f>[1]TDSheet!AV36</f>
        <v>0</v>
      </c>
      <c r="AW35">
        <f>[1]TDSheet!AW36</f>
        <v>0</v>
      </c>
      <c r="AX35">
        <f>[1]TDSheet!AX36</f>
        <v>0</v>
      </c>
      <c r="AY35">
        <f>[1]TDSheet!AY36</f>
        <v>0</v>
      </c>
      <c r="AZ35">
        <f>[1]TDSheet!AZ36</f>
        <v>0</v>
      </c>
      <c r="BA35" t="str">
        <f>[1]TDSheet!BA36</f>
        <v>8-977-574-42-27</v>
      </c>
      <c r="BB35">
        <f>[1]TDSheet!BB36</f>
        <v>0</v>
      </c>
      <c r="BC35" t="str">
        <f>[1]TDSheet!BC36</f>
        <v>40820810238120039628</v>
      </c>
      <c r="BD35" t="str">
        <f>[1]TDSheet!BD36</f>
        <v>ПАО СБЕРБАНК</v>
      </c>
      <c r="BE35" t="str">
        <f>[1]TDSheet!BE36</f>
        <v>044525225</v>
      </c>
    </row>
    <row r="36" spans="1:57" x14ac:dyDescent="0.25">
      <c r="A36" t="str">
        <f>[1]TDSheet!A37</f>
        <v>Ибиев Эсен Рабаданович</v>
      </c>
      <c r="B36" t="str">
        <f>[1]TDSheet!B37</f>
        <v>Кровельщик</v>
      </c>
      <c r="C36" t="str">
        <f>TEXT([1]TDSheet!C37,"ДД.ММ.ГГГГ")</f>
        <v>14.02.1974</v>
      </c>
      <c r="D36" t="str">
        <f>[1]TDSheet!D37</f>
        <v>РОССИЯ</v>
      </c>
      <c r="E36" t="str">
        <f>[1]TDSheet!E37</f>
        <v>262404188394</v>
      </c>
      <c r="F36" t="str">
        <f>[1]TDSheet!F37</f>
        <v>085-584-264 05</v>
      </c>
      <c r="G36" t="str">
        <f>[1]TDSheet!G37</f>
        <v>Паспорт гражданина РФ</v>
      </c>
      <c r="H36" t="str">
        <f>[1]TDSheet!H37</f>
        <v>Серия</v>
      </c>
      <c r="I36" t="str">
        <f>[1]TDSheet!I37</f>
        <v>0702</v>
      </c>
      <c r="J36" t="str">
        <f>[1]TDSheet!J37</f>
        <v>Номер</v>
      </c>
      <c r="K36" t="str">
        <f>[1]TDSheet!K37</f>
        <v>931823</v>
      </c>
      <c r="L36" t="str">
        <f>[1]TDSheet!L37</f>
        <v>Выдан</v>
      </c>
      <c r="M36" t="str">
        <f>TEXT([1]TDSheet!M37,"ДД.ММ.ГГГГ")</f>
        <v>11.04.2002</v>
      </c>
      <c r="N36" t="str">
        <f>[1]TDSheet!N37</f>
        <v>Отделом внутренних дел гор. Буденновска и Буденновского района Ставрапольского края</v>
      </c>
      <c r="O36" t="str">
        <f>[1]TDSheet!O37</f>
        <v>262-005</v>
      </c>
      <c r="P36" t="str">
        <f>[1]TDSheet!P37</f>
        <v>Серия 0702 Номер 931823,Выдан 11.04.2002 Отделом внутренних дел гор. Буденновска и Буденновского района Ставрапольского края</v>
      </c>
      <c r="Q36" t="str">
        <f>[1]TDSheet!Q37</f>
        <v>356897, Ставропольский край, Нефтекумский р-н, Зункарь п, Энтузиастов ул, дом № 20, кв.1</v>
      </c>
      <c r="R36" t="str">
        <f>[1]TDSheet!R37</f>
        <v>356897, Ставропольский край, Нефтекумский р-н, Зункарь п, Энтузиастов ул, дом № 20, кв.1</v>
      </c>
      <c r="S36">
        <f>[1]TDSheet!S37</f>
        <v>0</v>
      </c>
      <c r="T36" t="str">
        <f>[1]TDSheet!T37</f>
        <v>ТХЗК-00143</v>
      </c>
      <c r="U36">
        <f>[1]TDSheet!U37</f>
        <v>174</v>
      </c>
      <c r="V36" t="str">
        <f>[1]TDSheet!V37</f>
        <v>52-54</v>
      </c>
      <c r="W36">
        <f>[1]TDSheet!W37</f>
        <v>44</v>
      </c>
      <c r="X36">
        <f>[1]TDSheet!X37</f>
        <v>0</v>
      </c>
      <c r="Y36">
        <f>[1]TDSheet!Y37</f>
        <v>0</v>
      </c>
      <c r="Z36">
        <f>[1]TDSheet!Z37</f>
        <v>44500</v>
      </c>
      <c r="AA36" t="str">
        <f>[1]TDSheet!AA37</f>
        <v>16-06/21-ТП-03</v>
      </c>
      <c r="AB36">
        <f>[1]TDSheet!AB37</f>
        <v>0</v>
      </c>
      <c r="AC36">
        <f>[1]TDSheet!AC37</f>
        <v>0</v>
      </c>
      <c r="AD36">
        <f>[1]TDSheet!AD37</f>
        <v>0</v>
      </c>
      <c r="AE36">
        <f>[1]TDSheet!AE37</f>
        <v>0</v>
      </c>
      <c r="AF36">
        <f>[1]TDSheet!AF37</f>
        <v>0</v>
      </c>
      <c r="AG36">
        <f>[1]TDSheet!AG37</f>
        <v>0</v>
      </c>
      <c r="AH36">
        <f>[1]TDSheet!AH37</f>
        <v>0</v>
      </c>
      <c r="AI36">
        <f>[1]TDSheet!AI37</f>
        <v>0</v>
      </c>
      <c r="AJ36">
        <f>[1]TDSheet!AJ37</f>
        <v>0</v>
      </c>
      <c r="AK36">
        <f>[1]TDSheet!AK37</f>
        <v>0</v>
      </c>
      <c r="AL36">
        <f>[1]TDSheet!AL37</f>
        <v>0</v>
      </c>
      <c r="AM36">
        <f>[1]TDSheet!AM37</f>
        <v>0</v>
      </c>
      <c r="AN36">
        <f>[1]TDSheet!AN37</f>
        <v>0</v>
      </c>
      <c r="AO36">
        <f>[1]TDSheet!AO37</f>
        <v>0</v>
      </c>
      <c r="AP36">
        <f>[1]TDSheet!AP37</f>
        <v>0</v>
      </c>
      <c r="AQ36">
        <f>[1]TDSheet!AQ37</f>
        <v>0</v>
      </c>
      <c r="AR36">
        <f>[1]TDSheet!AR37</f>
        <v>0</v>
      </c>
      <c r="AS36">
        <f>[1]TDSheet!AS37</f>
        <v>0</v>
      </c>
      <c r="AT36">
        <f>[1]TDSheet!AT37</f>
        <v>0</v>
      </c>
      <c r="AU36">
        <f>[1]TDSheet!AU37</f>
        <v>0</v>
      </c>
      <c r="AV36">
        <f>[1]TDSheet!AV37</f>
        <v>0</v>
      </c>
      <c r="AW36">
        <f>[1]TDSheet!AW37</f>
        <v>0</v>
      </c>
      <c r="AX36">
        <f>[1]TDSheet!AX37</f>
        <v>44265</v>
      </c>
      <c r="AY36">
        <f>[1]TDSheet!AY37</f>
        <v>0</v>
      </c>
      <c r="AZ36">
        <f>[1]TDSheet!AZ37</f>
        <v>0</v>
      </c>
      <c r="BA36" t="str">
        <f>[1]TDSheet!BA37</f>
        <v>8-989-973-21-38</v>
      </c>
      <c r="BB36">
        <f>[1]TDSheet!BB37</f>
        <v>0</v>
      </c>
      <c r="BC36" t="str">
        <f>[1]TDSheet!BC37</f>
        <v>40817810660104422945</v>
      </c>
      <c r="BD36" t="str">
        <f>[1]TDSheet!BD37</f>
        <v>ПАО СБЕРБАНК</v>
      </c>
      <c r="BE36" t="str">
        <f>[1]TDSheet!BE37</f>
        <v>044525225</v>
      </c>
    </row>
    <row r="37" spans="1:57" x14ac:dyDescent="0.25">
      <c r="A37" t="str">
        <f>[1]TDSheet!A38</f>
        <v>Магомедов Магомед Салихович</v>
      </c>
      <c r="B37" t="str">
        <f>[1]TDSheet!B38</f>
        <v>Кровельщик</v>
      </c>
      <c r="C37" t="str">
        <f>TEXT([1]TDSheet!C38,"ДД.ММ.ГГГГ")</f>
        <v>26.01.1981</v>
      </c>
      <c r="D37" t="str">
        <f>[1]TDSheet!D38</f>
        <v>РОССИЯ</v>
      </c>
      <c r="E37" t="str">
        <f>[1]TDSheet!E38</f>
        <v>050200733279</v>
      </c>
      <c r="F37" t="str">
        <f>[1]TDSheet!F38</f>
        <v>169-944-158 29</v>
      </c>
      <c r="G37" t="str">
        <f>[1]TDSheet!G38</f>
        <v>Паспорт гражданина РФ</v>
      </c>
      <c r="H37" t="str">
        <f>[1]TDSheet!H38</f>
        <v>Серия</v>
      </c>
      <c r="I37">
        <f>[1]TDSheet!I38</f>
        <v>8205</v>
      </c>
      <c r="J37" t="str">
        <f>[1]TDSheet!J38</f>
        <v>Номер</v>
      </c>
      <c r="K37" t="str">
        <f>[1]TDSheet!K38</f>
        <v>990576</v>
      </c>
      <c r="L37" t="str">
        <f>[1]TDSheet!L38</f>
        <v>Выдан</v>
      </c>
      <c r="M37" t="str">
        <f>TEXT([1]TDSheet!M38,"ДД.ММ.ГГГГ")</f>
        <v>16.09.2005</v>
      </c>
      <c r="N37" t="str">
        <f>[1]TDSheet!N38</f>
        <v>ОТДЕЛОМ ВНУТРЕННИХ ДЕЛ АКУШИНСКОГО РАЙОНА РЕСПУБЛИКЕ ДАГИСТАН</v>
      </c>
      <c r="O37" t="str">
        <f>[1]TDSheet!O38</f>
        <v>052-013</v>
      </c>
      <c r="P37" t="str">
        <f>[1]TDSheet!P38</f>
        <v>Серия 8205 Номер 990576,Выдан 16.09.2005 ОТДЕЛОМ ВНУТРЕННИХ ДЕЛ АКУШИНСКОГО РАЙОНА РЕСПУБЛИКЕ ДАГИСТАН</v>
      </c>
      <c r="Q37" t="str">
        <f>[1]TDSheet!Q38</f>
        <v>РОССИЯ, Дагестан респ, р-н Акушинский, с Акуша</v>
      </c>
      <c r="R37" t="str">
        <f>[1]TDSheet!R38</f>
        <v>РОССИЯ, Дагестан респ, р-н Акушинский, с Акуша</v>
      </c>
      <c r="S37">
        <f>[1]TDSheet!S38</f>
        <v>0</v>
      </c>
      <c r="T37" t="str">
        <f>[1]TDSheet!T38</f>
        <v>ТХЗК-00156</v>
      </c>
      <c r="U37">
        <f>[1]TDSheet!U38</f>
        <v>185</v>
      </c>
      <c r="V37">
        <f>[1]TDSheet!V38</f>
        <v>52</v>
      </c>
      <c r="W37">
        <f>[1]TDSheet!W38</f>
        <v>44</v>
      </c>
      <c r="X37">
        <f>[1]TDSheet!X38</f>
        <v>0</v>
      </c>
      <c r="Y37">
        <f>[1]TDSheet!Y38</f>
        <v>0</v>
      </c>
      <c r="Z37">
        <f>[1]TDSheet!Z38</f>
        <v>44500</v>
      </c>
      <c r="AA37" t="str">
        <f>[1]TDSheet!AA38</f>
        <v>16-06/21-ТП-08</v>
      </c>
      <c r="AB37">
        <f>[1]TDSheet!AB38</f>
        <v>0</v>
      </c>
      <c r="AC37">
        <f>[1]TDSheet!AC38</f>
        <v>1</v>
      </c>
      <c r="AD37">
        <f>[1]TDSheet!AD38</f>
        <v>44378</v>
      </c>
      <c r="AE37">
        <f>[1]TDSheet!AE38</f>
        <v>0</v>
      </c>
      <c r="AF37">
        <f>[1]TDSheet!AF38</f>
        <v>0</v>
      </c>
      <c r="AG37" t="str">
        <f>[1]TDSheet!AG38</f>
        <v>не надо</v>
      </c>
      <c r="AH37" t="str">
        <f>[1]TDSheet!AH38</f>
        <v>не надо</v>
      </c>
      <c r="AI37" t="str">
        <f>[1]TDSheet!AI38</f>
        <v>не надо</v>
      </c>
      <c r="AJ37">
        <f>[1]TDSheet!AJ38</f>
        <v>0</v>
      </c>
      <c r="AK37">
        <f>[1]TDSheet!AK38</f>
        <v>0</v>
      </c>
      <c r="AL37" t="str">
        <f>[1]TDSheet!AL38</f>
        <v>не надо</v>
      </c>
      <c r="AM37" t="str">
        <f>[1]TDSheet!AM38</f>
        <v>не надо</v>
      </c>
      <c r="AN37" t="str">
        <f>[1]TDSheet!AN38</f>
        <v>не надо</v>
      </c>
      <c r="AO37" t="str">
        <f>[1]TDSheet!AO38</f>
        <v>не надо</v>
      </c>
      <c r="AP37" t="str">
        <f>[1]TDSheet!AP38</f>
        <v>не надо</v>
      </c>
      <c r="AQ37" t="str">
        <f>[1]TDSheet!AQ38</f>
        <v>не надо</v>
      </c>
      <c r="AR37" t="str">
        <f>[1]TDSheet!AR38</f>
        <v>не надо</v>
      </c>
      <c r="AS37" t="str">
        <f>[1]TDSheet!AS38</f>
        <v>не надо</v>
      </c>
      <c r="AT37">
        <f>[1]TDSheet!AT38</f>
        <v>1</v>
      </c>
      <c r="AU37" t="str">
        <f>[1]TDSheet!AU38</f>
        <v>Стропальщик 5 разряда, 10.11.2021</v>
      </c>
      <c r="AV37">
        <f>[1]TDSheet!AV38</f>
        <v>44525</v>
      </c>
      <c r="AW37">
        <f>[1]TDSheet!AW38</f>
        <v>0</v>
      </c>
      <c r="AX37">
        <f>[1]TDSheet!AX38</f>
        <v>0</v>
      </c>
      <c r="AY37">
        <f>[1]TDSheet!AY38</f>
        <v>0</v>
      </c>
      <c r="AZ37">
        <f>[1]TDSheet!AZ38</f>
        <v>0</v>
      </c>
      <c r="BA37" t="str">
        <f>[1]TDSheet!BA38</f>
        <v>8-988-223-29-41</v>
      </c>
      <c r="BB37" t="str">
        <f>[1]TDSheet!BB38</f>
        <v>magomed260182@gmail.com</v>
      </c>
      <c r="BC37" t="str">
        <f>[1]TDSheet!BC38</f>
        <v>40817810960322499476</v>
      </c>
      <c r="BD37" t="str">
        <f>[1]TDSheet!BD38</f>
        <v>ПАО СБЕРБАНК</v>
      </c>
      <c r="BE37" t="str">
        <f>[1]TDSheet!BE38</f>
        <v>044525225</v>
      </c>
    </row>
    <row r="38" spans="1:57" x14ac:dyDescent="0.25">
      <c r="A38" t="str">
        <f>[1]TDSheet!A39</f>
        <v>Расулов Шихмагомед Шарапович</v>
      </c>
      <c r="B38" t="str">
        <f>[1]TDSheet!B39</f>
        <v>Кровельщик</v>
      </c>
      <c r="C38" t="str">
        <f>TEXT([1]TDSheet!C39,"ДД.ММ.ГГГГ")</f>
        <v>28.12.1976</v>
      </c>
      <c r="D38" t="str">
        <f>[1]TDSheet!D39</f>
        <v>РОССИЯ</v>
      </c>
      <c r="E38" t="str">
        <f>[1]TDSheet!E39</f>
        <v>051486355160</v>
      </c>
      <c r="F38" t="str">
        <f>[1]TDSheet!F39</f>
        <v>156-996-240 26</v>
      </c>
      <c r="G38" t="str">
        <f>[1]TDSheet!G39</f>
        <v>Паспорт гражданина РФ</v>
      </c>
      <c r="H38" t="str">
        <f>[1]TDSheet!H39</f>
        <v>Серия</v>
      </c>
      <c r="I38">
        <f>[1]TDSheet!I39</f>
        <v>8202</v>
      </c>
      <c r="J38" t="str">
        <f>[1]TDSheet!J39</f>
        <v>Номер</v>
      </c>
      <c r="K38" t="str">
        <f>[1]TDSheet!K39</f>
        <v>912463</v>
      </c>
      <c r="L38" t="str">
        <f>[1]TDSheet!L39</f>
        <v>Выдан</v>
      </c>
      <c r="M38" t="str">
        <f>TEXT([1]TDSheet!M39,"ДД.ММ.ГГГГ")</f>
        <v>01.11.2012</v>
      </c>
      <c r="N38" t="str">
        <f>[1]TDSheet!N39</f>
        <v>Отделом внутренних дел Кайтагского района Республики Дагестан</v>
      </c>
      <c r="O38" t="str">
        <f>[1]TDSheet!O39</f>
        <v>052-023</v>
      </c>
      <c r="P38" t="str">
        <f>[1]TDSheet!P39</f>
        <v>Серия 8202 Номер 912463,Выдан 01.11.2012 Отделом внутренних дел Кайтагского района Республики Дагестан</v>
      </c>
      <c r="Q38" t="str">
        <f>[1]TDSheet!Q39</f>
        <v>356897, Ставропольский край, Нефтекумский р-н, Зункарь п, Виноградная ул, дом № 2, кв.2</v>
      </c>
      <c r="R38" t="str">
        <f>[1]TDSheet!R39</f>
        <v>РОССИЯ, 356897, Ставропольский край, Нефтекумский р-н, Зункарь п, Виноградная ул, дом № 2, квартира 2</v>
      </c>
      <c r="S38">
        <f>[1]TDSheet!S39</f>
        <v>0</v>
      </c>
      <c r="T38" t="str">
        <f>[1]TDSheet!T39</f>
        <v>ТХЗК-00072</v>
      </c>
      <c r="U38">
        <f>[1]TDSheet!U39</f>
        <v>165</v>
      </c>
      <c r="V38" t="str">
        <f>[1]TDSheet!V39</f>
        <v>44-46</v>
      </c>
      <c r="W38">
        <f>[1]TDSheet!W39</f>
        <v>41</v>
      </c>
      <c r="X38">
        <f>[1]TDSheet!X39</f>
        <v>0</v>
      </c>
      <c r="Y38">
        <f>[1]TDSheet!Y39</f>
        <v>0</v>
      </c>
      <c r="Z38">
        <f>[1]TDSheet!Z39</f>
        <v>44500</v>
      </c>
      <c r="AA38" t="str">
        <f>[1]TDSheet!AA39</f>
        <v>16-06/21-ТП-05</v>
      </c>
      <c r="AB38">
        <f>[1]TDSheet!AB39</f>
        <v>0</v>
      </c>
      <c r="AC38">
        <f>[1]TDSheet!AC39</f>
        <v>1</v>
      </c>
      <c r="AD38">
        <f>[1]TDSheet!AD39</f>
        <v>44274</v>
      </c>
      <c r="AE38">
        <f>[1]TDSheet!AE39</f>
        <v>0</v>
      </c>
      <c r="AF38">
        <f>[1]TDSheet!AF39</f>
        <v>0</v>
      </c>
      <c r="AG38" t="str">
        <f>[1]TDSheet!AG39</f>
        <v>не надо</v>
      </c>
      <c r="AH38" t="str">
        <f>[1]TDSheet!AH39</f>
        <v>не надо</v>
      </c>
      <c r="AI38" t="str">
        <f>[1]TDSheet!AI39</f>
        <v>не надо</v>
      </c>
      <c r="AJ38">
        <f>[1]TDSheet!AJ39</f>
        <v>1</v>
      </c>
      <c r="AK38">
        <f>[1]TDSheet!AK39</f>
        <v>44274</v>
      </c>
      <c r="AL38" t="str">
        <f>[1]TDSheet!AL39</f>
        <v>не надо</v>
      </c>
      <c r="AM38" t="str">
        <f>[1]TDSheet!AM39</f>
        <v>не надо</v>
      </c>
      <c r="AN38" t="str">
        <f>[1]TDSheet!AN39</f>
        <v>не надо</v>
      </c>
      <c r="AO38" t="str">
        <f>[1]TDSheet!AO39</f>
        <v>не надо</v>
      </c>
      <c r="AP38" t="str">
        <f>[1]TDSheet!AP39</f>
        <v>не надо</v>
      </c>
      <c r="AQ38" t="str">
        <f>[1]TDSheet!AQ39</f>
        <v>не надо</v>
      </c>
      <c r="AR38" t="str">
        <f>[1]TDSheet!AR39</f>
        <v>не надо</v>
      </c>
      <c r="AS38" t="str">
        <f>[1]TDSheet!AS39</f>
        <v>не надо</v>
      </c>
      <c r="AT38">
        <f>[1]TDSheet!AT39</f>
        <v>0</v>
      </c>
      <c r="AU38" t="str">
        <f>[1]TDSheet!AU39</f>
        <v>нет</v>
      </c>
      <c r="AV38">
        <f>[1]TDSheet!AV39</f>
        <v>0</v>
      </c>
      <c r="AW38">
        <f>[1]TDSheet!AW39</f>
        <v>0</v>
      </c>
      <c r="AX38">
        <f>[1]TDSheet!AX39</f>
        <v>44278</v>
      </c>
      <c r="AY38">
        <f>[1]TDSheet!AY39</f>
        <v>0</v>
      </c>
      <c r="AZ38">
        <f>[1]TDSheet!AZ39</f>
        <v>0</v>
      </c>
      <c r="BA38" t="str">
        <f>[1]TDSheet!BA39</f>
        <v>8-988-767-37-80</v>
      </c>
      <c r="BB38">
        <f>[1]TDSheet!BB39</f>
        <v>0</v>
      </c>
      <c r="BC38" t="str">
        <f>[1]TDSheet!BC39</f>
        <v>40817810438173048372</v>
      </c>
      <c r="BD38" t="str">
        <f>[1]TDSheet!BD39</f>
        <v>ПАО СБЕРБАНК</v>
      </c>
      <c r="BE38" t="str">
        <f>[1]TDSheet!BE39</f>
        <v>044525225</v>
      </c>
    </row>
    <row r="39" spans="1:57" x14ac:dyDescent="0.25">
      <c r="A39" t="str">
        <f>[1]TDSheet!A40</f>
        <v xml:space="preserve">Балуев Алексей Александрович </v>
      </c>
      <c r="B39" t="str">
        <f>[1]TDSheet!B40</f>
        <v>инженер</v>
      </c>
      <c r="C39" t="str">
        <f>TEXT([1]TDSheet!C40,"ДД.ММ.ГГГГ")</f>
        <v>29.11.1972</v>
      </c>
      <c r="D39" t="str">
        <f>[1]TDSheet!D40</f>
        <v>РОССИЯ</v>
      </c>
      <c r="E39" t="str">
        <f>[1]TDSheet!E40</f>
        <v>772871863909</v>
      </c>
      <c r="F39" t="str">
        <f>[1]TDSheet!F40</f>
        <v>107-221-621 06</v>
      </c>
      <c r="G39" t="str">
        <f>[1]TDSheet!G40</f>
        <v>Паспорт гражданина РФ</v>
      </c>
      <c r="H39" t="str">
        <f>[1]TDSheet!H40</f>
        <v>Серия</v>
      </c>
      <c r="I39">
        <f>[1]TDSheet!I40</f>
        <v>4518</v>
      </c>
      <c r="J39" t="str">
        <f>[1]TDSheet!J40</f>
        <v>Номер</v>
      </c>
      <c r="K39">
        <f>[1]TDSheet!K40</f>
        <v>403284</v>
      </c>
      <c r="L39" t="str">
        <f>[1]TDSheet!L40</f>
        <v>Выдан</v>
      </c>
      <c r="M39" t="str">
        <f>TEXT([1]TDSheet!M40,"ДД.ММ.ГГГГ")</f>
        <v>18.12.2017</v>
      </c>
      <c r="N39" t="str">
        <f>[1]TDSheet!N40</f>
        <v>отд УФМС России по гор. Москве в пос. Коммунарка</v>
      </c>
      <c r="O39" t="str">
        <f>[1]TDSheet!O40</f>
        <v>770-142</v>
      </c>
      <c r="P39" t="str">
        <f>[1]TDSheet!P40</f>
        <v>Серия 4518 Номер 403284,Выдан 18.12.2017 отд УФМС России по гор. Москве в пос. Коммунарка</v>
      </c>
      <c r="Q39" t="str">
        <f>[1]TDSheet!Q40</f>
        <v>Россия г. Москва поселение Сосенское д. Николо- Хованское ул Петра Вяземского д 7 корп 2 кв10</v>
      </c>
      <c r="R39" t="str">
        <f>[1]TDSheet!R40</f>
        <v>Россия г. Москва поселение Сосенское д. Николо- Хованское ул Петра Вяземского д 7 корп 2 кв10</v>
      </c>
      <c r="S39">
        <f>[1]TDSheet!S40</f>
        <v>0</v>
      </c>
      <c r="T39">
        <f>[1]TDSheet!T40</f>
        <v>0</v>
      </c>
      <c r="U39">
        <f>[1]TDSheet!U40</f>
        <v>0</v>
      </c>
      <c r="V39">
        <f>[1]TDSheet!V40</f>
        <v>0</v>
      </c>
      <c r="W39">
        <f>[1]TDSheet!W40</f>
        <v>0</v>
      </c>
      <c r="X39">
        <f>[1]TDSheet!X40</f>
        <v>0</v>
      </c>
      <c r="Y39">
        <f>[1]TDSheet!Y40</f>
        <v>0</v>
      </c>
      <c r="Z39">
        <f>[1]TDSheet!Z40</f>
        <v>0</v>
      </c>
      <c r="AA39">
        <f>[1]TDSheet!AA40</f>
        <v>0</v>
      </c>
      <c r="AB39">
        <f>[1]TDSheet!AB40</f>
        <v>0</v>
      </c>
      <c r="AC39">
        <f>[1]TDSheet!AC40</f>
        <v>0</v>
      </c>
      <c r="AD39">
        <f>[1]TDSheet!AD40</f>
        <v>0</v>
      </c>
      <c r="AE39">
        <f>[1]TDSheet!AE40</f>
        <v>0</v>
      </c>
      <c r="AF39">
        <f>[1]TDSheet!AF40</f>
        <v>0</v>
      </c>
      <c r="AG39">
        <f>[1]TDSheet!AG40</f>
        <v>0</v>
      </c>
      <c r="AH39">
        <f>[1]TDSheet!AH40</f>
        <v>0</v>
      </c>
      <c r="AI39">
        <f>[1]TDSheet!AI40</f>
        <v>0</v>
      </c>
      <c r="AJ39">
        <f>[1]TDSheet!AJ40</f>
        <v>0</v>
      </c>
      <c r="AK39">
        <f>[1]TDSheet!AK40</f>
        <v>0</v>
      </c>
      <c r="AL39">
        <f>[1]TDSheet!AL40</f>
        <v>0</v>
      </c>
      <c r="AM39">
        <f>[1]TDSheet!AM40</f>
        <v>0</v>
      </c>
      <c r="AN39">
        <f>[1]TDSheet!AN40</f>
        <v>0</v>
      </c>
      <c r="AO39">
        <f>[1]TDSheet!AO40</f>
        <v>0</v>
      </c>
      <c r="AP39">
        <f>[1]TDSheet!AP40</f>
        <v>0</v>
      </c>
      <c r="AQ39">
        <f>[1]TDSheet!AQ40</f>
        <v>0</v>
      </c>
      <c r="AR39">
        <f>[1]TDSheet!AR40</f>
        <v>0</v>
      </c>
      <c r="AS39">
        <f>[1]TDSheet!AS40</f>
        <v>0</v>
      </c>
      <c r="AT39">
        <f>[1]TDSheet!AT40</f>
        <v>0</v>
      </c>
      <c r="AU39">
        <f>[1]TDSheet!AU40</f>
        <v>0</v>
      </c>
      <c r="AV39">
        <f>[1]TDSheet!AV40</f>
        <v>0</v>
      </c>
      <c r="AW39">
        <f>[1]TDSheet!AW40</f>
        <v>0</v>
      </c>
      <c r="AX39">
        <f>[1]TDSheet!AX40</f>
        <v>0</v>
      </c>
      <c r="AY39">
        <f>[1]TDSheet!AY40</f>
        <v>0</v>
      </c>
      <c r="AZ39">
        <f>[1]TDSheet!AZ40</f>
        <v>0</v>
      </c>
      <c r="BA39" t="str">
        <f>[1]TDSheet!BA40</f>
        <v>8-916-575-14-21</v>
      </c>
      <c r="BB39">
        <f>[1]TDSheet!BB40</f>
        <v>0</v>
      </c>
      <c r="BC39" t="str">
        <f>[1]TDSheet!BC40</f>
        <v xml:space="preserve">марка Хонда Джаз № С618 НВ197 </v>
      </c>
      <c r="BD39">
        <f>[1]TDSheet!BD40</f>
        <v>0</v>
      </c>
      <c r="BE39">
        <f>[1]TDSheet!BE40</f>
        <v>0</v>
      </c>
    </row>
    <row r="40" spans="1:57" x14ac:dyDescent="0.25">
      <c r="A40" t="str">
        <f>[1]TDSheet!A41</f>
        <v>Балуев Семен Алексеевич</v>
      </c>
      <c r="B40" t="str">
        <f>[1]TDSheet!B41</f>
        <v xml:space="preserve">монтажник- высотник </v>
      </c>
      <c r="C40" t="str">
        <f>TEXT([1]TDSheet!C41,"ДД.ММ.ГГГГ")</f>
        <v>30.04.1997</v>
      </c>
      <c r="D40" t="str">
        <f>[1]TDSheet!D41</f>
        <v>РОССИЯ</v>
      </c>
      <c r="E40" t="str">
        <f>[1]TDSheet!E41</f>
        <v>772824346741</v>
      </c>
      <c r="F40" t="str">
        <f>[1]TDSheet!F41</f>
        <v>192-673-725 06</v>
      </c>
      <c r="G40" t="str">
        <f>[1]TDSheet!G41</f>
        <v>Паспорт гражданина РФ</v>
      </c>
      <c r="H40" t="str">
        <f>[1]TDSheet!H41</f>
        <v>Серия</v>
      </c>
      <c r="I40">
        <f>[1]TDSheet!I41</f>
        <v>4518</v>
      </c>
      <c r="J40" t="str">
        <f>[1]TDSheet!J41</f>
        <v>Номер</v>
      </c>
      <c r="K40">
        <f>[1]TDSheet!K41</f>
        <v>288612</v>
      </c>
      <c r="L40" t="str">
        <f>[1]TDSheet!L41</f>
        <v>Выдан</v>
      </c>
      <c r="M40" t="str">
        <f>TEXT([1]TDSheet!M41,"ДД.ММ.ГГГГ")</f>
        <v>07.09.2017</v>
      </c>
      <c r="N40" t="str">
        <f>[1]TDSheet!N41</f>
        <v xml:space="preserve">отд УФМС России по гор Москве по району Ясенево  </v>
      </c>
      <c r="O40" t="str">
        <f>[1]TDSheet!O41</f>
        <v>770-125</v>
      </c>
      <c r="P40" t="str">
        <f>[1]TDSheet!P41</f>
        <v xml:space="preserve">Серия 4518 Номер 288612,Выдан 07.09.2017 отд УФМС России по гор Москве по району Ясенево  </v>
      </c>
      <c r="Q40" t="str">
        <f>[1]TDSheet!Q41</f>
        <v xml:space="preserve">Россия г. Москва проезд Одоевского д3 корп 4 кв485 </v>
      </c>
      <c r="R40" t="str">
        <f>[1]TDSheet!R41</f>
        <v xml:space="preserve">Россия г. Москва проезд Одоевского д3 корп 4 кв485 </v>
      </c>
      <c r="S40">
        <f>[1]TDSheet!S41</f>
        <v>0</v>
      </c>
      <c r="T40">
        <f>[1]TDSheet!T41</f>
        <v>0</v>
      </c>
      <c r="U40">
        <f>[1]TDSheet!U41</f>
        <v>0</v>
      </c>
      <c r="V40">
        <f>[1]TDSheet!V41</f>
        <v>0</v>
      </c>
      <c r="W40">
        <f>[1]TDSheet!W41</f>
        <v>0</v>
      </c>
      <c r="X40">
        <f>[1]TDSheet!X41</f>
        <v>0</v>
      </c>
      <c r="Y40">
        <f>[1]TDSheet!Y41</f>
        <v>0</v>
      </c>
      <c r="Z40">
        <f>[1]TDSheet!Z41</f>
        <v>0</v>
      </c>
      <c r="AA40">
        <f>[1]TDSheet!AA41</f>
        <v>0</v>
      </c>
      <c r="AB40">
        <f>[1]TDSheet!AB41</f>
        <v>0</v>
      </c>
      <c r="AC40">
        <f>[1]TDSheet!AC41</f>
        <v>0</v>
      </c>
      <c r="AD40">
        <f>[1]TDSheet!AD41</f>
        <v>0</v>
      </c>
      <c r="AE40">
        <f>[1]TDSheet!AE41</f>
        <v>0</v>
      </c>
      <c r="AF40">
        <f>[1]TDSheet!AF41</f>
        <v>0</v>
      </c>
      <c r="AG40">
        <f>[1]TDSheet!AG41</f>
        <v>0</v>
      </c>
      <c r="AH40">
        <f>[1]TDSheet!AH41</f>
        <v>0</v>
      </c>
      <c r="AI40">
        <f>[1]TDSheet!AI41</f>
        <v>0</v>
      </c>
      <c r="AJ40">
        <f>[1]TDSheet!AJ41</f>
        <v>0</v>
      </c>
      <c r="AK40">
        <f>[1]TDSheet!AK41</f>
        <v>0</v>
      </c>
      <c r="AL40">
        <f>[1]TDSheet!AL41</f>
        <v>0</v>
      </c>
      <c r="AM40">
        <f>[1]TDSheet!AM41</f>
        <v>0</v>
      </c>
      <c r="AN40">
        <f>[1]TDSheet!AN41</f>
        <v>0</v>
      </c>
      <c r="AO40">
        <f>[1]TDSheet!AO41</f>
        <v>0</v>
      </c>
      <c r="AP40">
        <f>[1]TDSheet!AP41</f>
        <v>0</v>
      </c>
      <c r="AQ40">
        <f>[1]TDSheet!AQ41</f>
        <v>0</v>
      </c>
      <c r="AR40">
        <f>[1]TDSheet!AR41</f>
        <v>0</v>
      </c>
      <c r="AS40">
        <f>[1]TDSheet!AS41</f>
        <v>0</v>
      </c>
      <c r="AT40">
        <f>[1]TDSheet!AT41</f>
        <v>0</v>
      </c>
      <c r="AU40">
        <f>[1]TDSheet!AU41</f>
        <v>0</v>
      </c>
      <c r="AV40">
        <f>[1]TDSheet!AV41</f>
        <v>0</v>
      </c>
      <c r="AW40">
        <f>[1]TDSheet!AW41</f>
        <v>0</v>
      </c>
      <c r="AX40">
        <f>[1]TDSheet!AX41</f>
        <v>0</v>
      </c>
      <c r="AY40">
        <f>[1]TDSheet!AY41</f>
        <v>0</v>
      </c>
      <c r="AZ40">
        <f>[1]TDSheet!AZ41</f>
        <v>0</v>
      </c>
      <c r="BA40" t="str">
        <f>[1]TDSheet!BA41</f>
        <v>8-915-285-68-35</v>
      </c>
      <c r="BB40">
        <f>[1]TDSheet!BB41</f>
        <v>0</v>
      </c>
      <c r="BC40">
        <f>[1]TDSheet!BC41</f>
        <v>0</v>
      </c>
      <c r="BD40">
        <f>[1]TDSheet!BD41</f>
        <v>0</v>
      </c>
      <c r="BE40">
        <f>[1]TDSheet!BE41</f>
        <v>0</v>
      </c>
    </row>
    <row r="41" spans="1:57" x14ac:dyDescent="0.25">
      <c r="A41" t="str">
        <f>[1]TDSheet!A42</f>
        <v xml:space="preserve">Быковских Дмитрий Сергеевич </v>
      </c>
      <c r="B41" t="str">
        <f>[1]TDSheet!B42</f>
        <v xml:space="preserve">монтажник- высотник </v>
      </c>
      <c r="C41" t="str">
        <f>TEXT([1]TDSheet!C42,"ДД.ММ.ГГГГ")</f>
        <v>31.10.1996</v>
      </c>
      <c r="D41" t="str">
        <f>[1]TDSheet!D42</f>
        <v>РОССИЯ</v>
      </c>
      <c r="E41" t="str">
        <f>[1]TDSheet!E42</f>
        <v>772823795430</v>
      </c>
      <c r="F41" t="str">
        <f>[1]TDSheet!F42</f>
        <v>196-504-622 92</v>
      </c>
      <c r="G41" t="str">
        <f>[1]TDSheet!G42</f>
        <v>Паспорт гражданина РФ</v>
      </c>
      <c r="H41" t="str">
        <f>[1]TDSheet!H42</f>
        <v>Серия</v>
      </c>
      <c r="I41">
        <f>[1]TDSheet!I42</f>
        <v>4516</v>
      </c>
      <c r="J41" t="str">
        <f>[1]TDSheet!J42</f>
        <v>Номер</v>
      </c>
      <c r="K41">
        <f>[1]TDSheet!K42</f>
        <v>922867</v>
      </c>
      <c r="L41" t="str">
        <f>[1]TDSheet!L42</f>
        <v>Выдан</v>
      </c>
      <c r="M41" t="str">
        <f>TEXT([1]TDSheet!M42,"ДД.ММ.ГГГГ")</f>
        <v>23.11.2016</v>
      </c>
      <c r="N41" t="str">
        <f>[1]TDSheet!N42</f>
        <v>отд УФМС России по гор Москве по районуТеплый Стан</v>
      </c>
      <c r="O41" t="str">
        <f>[1]TDSheet!O42</f>
        <v>770-122</v>
      </c>
      <c r="P41" t="str">
        <f>[1]TDSheet!P42</f>
        <v>Серия 4516 Номер 922867,Выдан 23.11.2016 отд УФМС России по гор Москве по районуТеплый Стан</v>
      </c>
      <c r="Q41" t="str">
        <f>[1]TDSheet!Q42</f>
        <v>Россия г. Москва ул. Генерала Тюленва д 33 кв95</v>
      </c>
      <c r="R41" t="str">
        <f>[1]TDSheet!R42</f>
        <v>Россия г. Москва ул. Генерала Тюленва д 33 кв95</v>
      </c>
      <c r="S41">
        <f>[1]TDSheet!S42</f>
        <v>0</v>
      </c>
      <c r="T41">
        <f>[1]TDSheet!T42</f>
        <v>0</v>
      </c>
      <c r="U41">
        <f>[1]TDSheet!U42</f>
        <v>0</v>
      </c>
      <c r="V41">
        <f>[1]TDSheet!V42</f>
        <v>0</v>
      </c>
      <c r="W41">
        <f>[1]TDSheet!W42</f>
        <v>0</v>
      </c>
      <c r="X41">
        <f>[1]TDSheet!X42</f>
        <v>0</v>
      </c>
      <c r="Y41">
        <f>[1]TDSheet!Y42</f>
        <v>0</v>
      </c>
      <c r="Z41">
        <f>[1]TDSheet!Z42</f>
        <v>0</v>
      </c>
      <c r="AA41">
        <f>[1]TDSheet!AA42</f>
        <v>0</v>
      </c>
      <c r="AB41">
        <f>[1]TDSheet!AB42</f>
        <v>0</v>
      </c>
      <c r="AC41">
        <f>[1]TDSheet!AC42</f>
        <v>0</v>
      </c>
      <c r="AD41">
        <f>[1]TDSheet!AD42</f>
        <v>0</v>
      </c>
      <c r="AE41">
        <f>[1]TDSheet!AE42</f>
        <v>0</v>
      </c>
      <c r="AF41">
        <f>[1]TDSheet!AF42</f>
        <v>0</v>
      </c>
      <c r="AG41">
        <f>[1]TDSheet!AG42</f>
        <v>0</v>
      </c>
      <c r="AH41">
        <f>[1]TDSheet!AH42</f>
        <v>0</v>
      </c>
      <c r="AI41">
        <f>[1]TDSheet!AI42</f>
        <v>0</v>
      </c>
      <c r="AJ41">
        <f>[1]TDSheet!AJ42</f>
        <v>0</v>
      </c>
      <c r="AK41">
        <f>[1]TDSheet!AK42</f>
        <v>0</v>
      </c>
      <c r="AL41">
        <f>[1]TDSheet!AL42</f>
        <v>0</v>
      </c>
      <c r="AM41">
        <f>[1]TDSheet!AM42</f>
        <v>0</v>
      </c>
      <c r="AN41">
        <f>[1]TDSheet!AN42</f>
        <v>0</v>
      </c>
      <c r="AO41">
        <f>[1]TDSheet!AO42</f>
        <v>0</v>
      </c>
      <c r="AP41">
        <f>[1]TDSheet!AP42</f>
        <v>0</v>
      </c>
      <c r="AQ41">
        <f>[1]TDSheet!AQ42</f>
        <v>0</v>
      </c>
      <c r="AR41">
        <f>[1]TDSheet!AR42</f>
        <v>0</v>
      </c>
      <c r="AS41">
        <f>[1]TDSheet!AS42</f>
        <v>0</v>
      </c>
      <c r="AT41">
        <f>[1]TDSheet!AT42</f>
        <v>0</v>
      </c>
      <c r="AU41">
        <f>[1]TDSheet!AU42</f>
        <v>0</v>
      </c>
      <c r="AV41">
        <f>[1]TDSheet!AV42</f>
        <v>0</v>
      </c>
      <c r="AW41">
        <f>[1]TDSheet!AW42</f>
        <v>0</v>
      </c>
      <c r="AX41">
        <f>[1]TDSheet!AX42</f>
        <v>0</v>
      </c>
      <c r="AY41">
        <f>[1]TDSheet!AY42</f>
        <v>0</v>
      </c>
      <c r="AZ41">
        <f>[1]TDSheet!AZ42</f>
        <v>0</v>
      </c>
      <c r="BA41" t="str">
        <f>[1]TDSheet!BA42</f>
        <v>8-967-037-50-32</v>
      </c>
      <c r="BB41">
        <f>[1]TDSheet!BB42</f>
        <v>0</v>
      </c>
      <c r="BC41">
        <f>[1]TDSheet!BC42</f>
        <v>0</v>
      </c>
      <c r="BD41">
        <f>[1]TDSheet!BD42</f>
        <v>0</v>
      </c>
      <c r="BE41">
        <f>[1]TDSheet!BE42</f>
        <v>0</v>
      </c>
    </row>
    <row r="42" spans="1:57" x14ac:dyDescent="0.25">
      <c r="A42" t="str">
        <f>[1]TDSheet!A43</f>
        <v xml:space="preserve">Аскандаров Аскандар Лукманович </v>
      </c>
      <c r="B42" t="str">
        <f>[1]TDSheet!B43</f>
        <v xml:space="preserve">монтажник- высотник </v>
      </c>
      <c r="C42" t="str">
        <f>TEXT([1]TDSheet!C43,"ДД.ММ.ГГГГ")</f>
        <v>12.10.1980</v>
      </c>
      <c r="D42" t="str">
        <f>[1]TDSheet!D43</f>
        <v>РОССИЯ</v>
      </c>
      <c r="E42" t="str">
        <f>[1]TDSheet!E43</f>
        <v>261302578900</v>
      </c>
      <c r="F42" t="str">
        <f>[1]TDSheet!F43</f>
        <v>056-726-250 73</v>
      </c>
      <c r="G42" t="str">
        <f>[1]TDSheet!G43</f>
        <v>Паспорт гражданина РФ</v>
      </c>
      <c r="H42" t="str">
        <f>[1]TDSheet!H43</f>
        <v>Серия</v>
      </c>
      <c r="I42" t="str">
        <f>[1]TDSheet!I43</f>
        <v>0713</v>
      </c>
      <c r="J42" t="str">
        <f>[1]TDSheet!J43</f>
        <v>Номер</v>
      </c>
      <c r="K42">
        <f>[1]TDSheet!K43</f>
        <v>891172</v>
      </c>
      <c r="L42" t="str">
        <f>[1]TDSheet!L43</f>
        <v>Выдан</v>
      </c>
      <c r="M42" t="str">
        <f>TEXT([1]TDSheet!M43,"ДД.ММ.ГГГГ")</f>
        <v>17.04.2014</v>
      </c>
      <c r="N42" t="str">
        <f>[1]TDSheet!N43</f>
        <v>отд №3 МРО УФМС России по Ставрапольскому краю в г. Буденновске ( с местом дислокации в с. Левокумское)</v>
      </c>
      <c r="O42" t="str">
        <f>[1]TDSheet!O43</f>
        <v>260-019</v>
      </c>
      <c r="P42" t="str">
        <f>[1]TDSheet!P43</f>
        <v>Серия 0713 Номер 891172,Выдан 17.04.2014 отд №3 МРО УФМС России по Ставрапольскому краю в г. Буденновске ( с местом дислокации в с. Левокумское)</v>
      </c>
      <c r="Q42" t="str">
        <f>[1]TDSheet!Q43</f>
        <v>Россия Ставропольский край с Урожайное Левокумский ул Новостройки д2</v>
      </c>
      <c r="R42" t="str">
        <f>[1]TDSheet!R43</f>
        <v>Россия Ставропольский край с Урожайное Левокумский ул Новостройки д3</v>
      </c>
      <c r="S42">
        <f>[1]TDSheet!S43</f>
        <v>0</v>
      </c>
      <c r="T42">
        <f>[1]TDSheet!T43</f>
        <v>0</v>
      </c>
      <c r="U42">
        <f>[1]TDSheet!U43</f>
        <v>0</v>
      </c>
      <c r="V42">
        <f>[1]TDSheet!V43</f>
        <v>0</v>
      </c>
      <c r="W42">
        <f>[1]TDSheet!W43</f>
        <v>0</v>
      </c>
      <c r="X42">
        <f>[1]TDSheet!X43</f>
        <v>0</v>
      </c>
      <c r="Y42">
        <f>[1]TDSheet!Y43</f>
        <v>0</v>
      </c>
      <c r="Z42">
        <f>[1]TDSheet!Z43</f>
        <v>0</v>
      </c>
      <c r="AA42">
        <f>[1]TDSheet!AA43</f>
        <v>0</v>
      </c>
      <c r="AB42">
        <f>[1]TDSheet!AB43</f>
        <v>0</v>
      </c>
      <c r="AC42">
        <f>[1]TDSheet!AC43</f>
        <v>0</v>
      </c>
      <c r="AD42">
        <f>[1]TDSheet!AD43</f>
        <v>0</v>
      </c>
      <c r="AE42">
        <f>[1]TDSheet!AE43</f>
        <v>0</v>
      </c>
      <c r="AF42">
        <f>[1]TDSheet!AF43</f>
        <v>0</v>
      </c>
      <c r="AG42">
        <f>[1]TDSheet!AG43</f>
        <v>0</v>
      </c>
      <c r="AH42">
        <f>[1]TDSheet!AH43</f>
        <v>0</v>
      </c>
      <c r="AI42">
        <f>[1]TDSheet!AI43</f>
        <v>0</v>
      </c>
      <c r="AJ42">
        <f>[1]TDSheet!AJ43</f>
        <v>0</v>
      </c>
      <c r="AK42">
        <f>[1]TDSheet!AK43</f>
        <v>0</v>
      </c>
      <c r="AL42">
        <f>[1]TDSheet!AL43</f>
        <v>0</v>
      </c>
      <c r="AM42">
        <f>[1]TDSheet!AM43</f>
        <v>0</v>
      </c>
      <c r="AN42">
        <f>[1]TDSheet!AN43</f>
        <v>0</v>
      </c>
      <c r="AO42">
        <f>[1]TDSheet!AO43</f>
        <v>0</v>
      </c>
      <c r="AP42">
        <f>[1]TDSheet!AP43</f>
        <v>0</v>
      </c>
      <c r="AQ42">
        <f>[1]TDSheet!AQ43</f>
        <v>0</v>
      </c>
      <c r="AR42">
        <f>[1]TDSheet!AR43</f>
        <v>0</v>
      </c>
      <c r="AS42">
        <f>[1]TDSheet!AS43</f>
        <v>0</v>
      </c>
      <c r="AT42">
        <f>[1]TDSheet!AT43</f>
        <v>0</v>
      </c>
      <c r="AU42">
        <f>[1]TDSheet!AU43</f>
        <v>0</v>
      </c>
      <c r="AV42">
        <f>[1]TDSheet!AV43</f>
        <v>0</v>
      </c>
      <c r="AW42">
        <f>[1]TDSheet!AW43</f>
        <v>0</v>
      </c>
      <c r="AX42">
        <f>[1]TDSheet!AX43</f>
        <v>0</v>
      </c>
      <c r="AY42">
        <f>[1]TDSheet!AY43</f>
        <v>0</v>
      </c>
      <c r="AZ42">
        <f>[1]TDSheet!AZ43</f>
        <v>0</v>
      </c>
      <c r="BA42" t="str">
        <f>[1]TDSheet!BA43</f>
        <v>8-929-513-77-77</v>
      </c>
      <c r="BB42">
        <f>[1]TDSheet!BB43</f>
        <v>0</v>
      </c>
      <c r="BC42">
        <f>[1]TDSheet!BC43</f>
        <v>0</v>
      </c>
      <c r="BD42">
        <f>[1]TDSheet!BD43</f>
        <v>0</v>
      </c>
      <c r="BE42">
        <f>[1]TDSheet!BE43</f>
        <v>0</v>
      </c>
    </row>
    <row r="43" spans="1:57" x14ac:dyDescent="0.25">
      <c r="A43" t="str">
        <f>[1]TDSheet!A44</f>
        <v>Гусейнов Максим Гираевич</v>
      </c>
      <c r="B43" t="str">
        <f>[1]TDSheet!B44</f>
        <v xml:space="preserve">монтажник- высотник </v>
      </c>
      <c r="C43" t="str">
        <f>TEXT([1]TDSheet!C44,"ДД.ММ.ГГГГ")</f>
        <v>28.08.1982</v>
      </c>
      <c r="D43" t="str">
        <f>[1]TDSheet!D44</f>
        <v>РОССИЯ</v>
      </c>
      <c r="E43" t="str">
        <f>[1]TDSheet!E44</f>
        <v>056297097466</v>
      </c>
      <c r="F43">
        <f>[1]TDSheet!F44</f>
        <v>0</v>
      </c>
      <c r="G43" t="str">
        <f>[1]TDSheet!G44</f>
        <v>Паспорт гражданина РФ</v>
      </c>
      <c r="H43" t="str">
        <f>[1]TDSheet!H44</f>
        <v>Серия</v>
      </c>
      <c r="I43">
        <f>[1]TDSheet!I44</f>
        <v>4512</v>
      </c>
      <c r="J43" t="str">
        <f>[1]TDSheet!J44</f>
        <v>Номер</v>
      </c>
      <c r="K43">
        <f>[1]TDSheet!K44</f>
        <v>860746</v>
      </c>
      <c r="L43" t="str">
        <f>[1]TDSheet!L44</f>
        <v>Выдан</v>
      </c>
      <c r="M43" t="str">
        <f>TEXT([1]TDSheet!M44,"ДД.ММ.ГГГГ")</f>
        <v>06.12.2012</v>
      </c>
      <c r="N43" t="str">
        <f>[1]TDSheet!N44</f>
        <v>отд УФМС России по гор. Москве по району Чертаново Южное</v>
      </c>
      <c r="O43" t="str">
        <f>[1]TDSheet!O44</f>
        <v>770-041</v>
      </c>
      <c r="P43" t="str">
        <f>[1]TDSheet!P44</f>
        <v>Серия 4512 Номер 860746,Выдан 06.12.2012 отд УФМС России по гор. Москве по району Чертаново Южное</v>
      </c>
      <c r="Q43" t="str">
        <f>[1]TDSheet!Q44</f>
        <v>Россия г. Москва поселение Сосенское п. Коммунарка ул.  Лазурная д 7 кв 43</v>
      </c>
      <c r="R43" t="str">
        <f>[1]TDSheet!R44</f>
        <v>Россия г. Москва поселение Сосенское п. Коммунарка ул. Лазурная д 7 кв 43</v>
      </c>
      <c r="S43">
        <f>[1]TDSheet!S44</f>
        <v>0</v>
      </c>
      <c r="T43">
        <f>[1]TDSheet!T44</f>
        <v>0</v>
      </c>
      <c r="U43">
        <f>[1]TDSheet!U44</f>
        <v>0</v>
      </c>
      <c r="V43">
        <f>[1]TDSheet!V44</f>
        <v>0</v>
      </c>
      <c r="W43">
        <f>[1]TDSheet!W44</f>
        <v>0</v>
      </c>
      <c r="X43">
        <f>[1]TDSheet!X44</f>
        <v>0</v>
      </c>
      <c r="Y43">
        <f>[1]TDSheet!Y44</f>
        <v>0</v>
      </c>
      <c r="Z43">
        <f>[1]TDSheet!Z44</f>
        <v>0</v>
      </c>
      <c r="AA43">
        <f>[1]TDSheet!AA44</f>
        <v>0</v>
      </c>
      <c r="AB43">
        <f>[1]TDSheet!AB44</f>
        <v>0</v>
      </c>
      <c r="AC43">
        <f>[1]TDSheet!AC44</f>
        <v>0</v>
      </c>
      <c r="AD43">
        <f>[1]TDSheet!AD44</f>
        <v>0</v>
      </c>
      <c r="AE43">
        <f>[1]TDSheet!AE44</f>
        <v>0</v>
      </c>
      <c r="AF43">
        <f>[1]TDSheet!AF44</f>
        <v>0</v>
      </c>
      <c r="AG43">
        <f>[1]TDSheet!AG44</f>
        <v>0</v>
      </c>
      <c r="AH43">
        <f>[1]TDSheet!AH44</f>
        <v>0</v>
      </c>
      <c r="AI43">
        <f>[1]TDSheet!AI44</f>
        <v>0</v>
      </c>
      <c r="AJ43">
        <f>[1]TDSheet!AJ44</f>
        <v>0</v>
      </c>
      <c r="AK43">
        <f>[1]TDSheet!AK44</f>
        <v>0</v>
      </c>
      <c r="AL43">
        <f>[1]TDSheet!AL44</f>
        <v>0</v>
      </c>
      <c r="AM43">
        <f>[1]TDSheet!AM44</f>
        <v>0</v>
      </c>
      <c r="AN43">
        <f>[1]TDSheet!AN44</f>
        <v>0</v>
      </c>
      <c r="AO43">
        <f>[1]TDSheet!AO44</f>
        <v>0</v>
      </c>
      <c r="AP43">
        <f>[1]TDSheet!AP44</f>
        <v>0</v>
      </c>
      <c r="AQ43">
        <f>[1]TDSheet!AQ44</f>
        <v>0</v>
      </c>
      <c r="AR43">
        <f>[1]TDSheet!AR44</f>
        <v>0</v>
      </c>
      <c r="AS43">
        <f>[1]TDSheet!AS44</f>
        <v>0</v>
      </c>
      <c r="AT43">
        <f>[1]TDSheet!AT44</f>
        <v>0</v>
      </c>
      <c r="AU43">
        <f>[1]TDSheet!AU44</f>
        <v>0</v>
      </c>
      <c r="AV43">
        <f>[1]TDSheet!AV44</f>
        <v>0</v>
      </c>
      <c r="AW43">
        <f>[1]TDSheet!AW44</f>
        <v>0</v>
      </c>
      <c r="AX43">
        <f>[1]TDSheet!AX44</f>
        <v>0</v>
      </c>
      <c r="AY43">
        <f>[1]TDSheet!AY44</f>
        <v>0</v>
      </c>
      <c r="AZ43">
        <f>[1]TDSheet!AZ44</f>
        <v>0</v>
      </c>
      <c r="BA43">
        <f>[1]TDSheet!BA44</f>
        <v>0</v>
      </c>
      <c r="BB43">
        <f>[1]TDSheet!BB44</f>
        <v>0</v>
      </c>
      <c r="BC43">
        <f>[1]TDSheet!BC44</f>
        <v>0</v>
      </c>
      <c r="BD43">
        <f>[1]TDSheet!BD44</f>
        <v>0</v>
      </c>
      <c r="BE43">
        <f>[1]TDSheet!BE44</f>
        <v>0</v>
      </c>
    </row>
    <row r="44" spans="1:57" x14ac:dyDescent="0.25">
      <c r="A44" t="str">
        <f>[1]TDSheet!A45</f>
        <v>Сазонов Вячеслав Борисович</v>
      </c>
      <c r="B44" t="str">
        <f>[1]TDSheet!B45</f>
        <v xml:space="preserve">монтажник- высотник </v>
      </c>
      <c r="C44" t="str">
        <f>TEXT([1]TDSheet!C45,"ДД.ММ.ГГГГ")</f>
        <v>27.07.1968</v>
      </c>
      <c r="D44" t="str">
        <f>[1]TDSheet!D45</f>
        <v>РОССИЯ</v>
      </c>
      <c r="E44" t="str">
        <f>[1]TDSheet!E45</f>
        <v>772864518965</v>
      </c>
      <c r="F44" t="str">
        <f>[1]TDSheet!F45</f>
        <v>133-591-335 52</v>
      </c>
      <c r="G44" t="str">
        <f>[1]TDSheet!G45</f>
        <v>Паспорт гражданина РФ</v>
      </c>
      <c r="H44" t="str">
        <f>[1]TDSheet!H45</f>
        <v>Серия</v>
      </c>
      <c r="I44">
        <f>[1]TDSheet!I45</f>
        <v>4513</v>
      </c>
      <c r="J44" t="str">
        <f>[1]TDSheet!J45</f>
        <v>Номер</v>
      </c>
      <c r="K44">
        <f>[1]TDSheet!K45</f>
        <v>241144</v>
      </c>
      <c r="L44" t="str">
        <f>[1]TDSheet!L45</f>
        <v>Выдан</v>
      </c>
      <c r="M44" t="str">
        <f>TEXT([1]TDSheet!M45,"ДД.ММ.ГГГГ")</f>
        <v>09.08.2013</v>
      </c>
      <c r="N44" t="str">
        <f>[1]TDSheet!N45</f>
        <v>отд УФМС России по гор. Москве по району Ясенево</v>
      </c>
      <c r="O44" t="str">
        <f>[1]TDSheet!O45</f>
        <v>770-125</v>
      </c>
      <c r="P44" t="str">
        <f>[1]TDSheet!P45</f>
        <v>Серия 4513 Номер 241144,Выдан 09.08.2013 отд УФМС России по гор. Москве по району Ясенево</v>
      </c>
      <c r="Q44" t="str">
        <f>[1]TDSheet!Q45</f>
        <v>Россия Тульская обл Арсеньевский р-н д Песочное д 19</v>
      </c>
      <c r="R44" t="str">
        <f>[1]TDSheet!R45</f>
        <v>Россия Тульская обл Арсеньевский р-н д Песочное д 19</v>
      </c>
      <c r="S44">
        <f>[1]TDSheet!S45</f>
        <v>0</v>
      </c>
      <c r="T44">
        <f>[1]TDSheet!T45</f>
        <v>0</v>
      </c>
      <c r="U44">
        <f>[1]TDSheet!U45</f>
        <v>0</v>
      </c>
      <c r="V44">
        <f>[1]TDSheet!V45</f>
        <v>0</v>
      </c>
      <c r="W44">
        <f>[1]TDSheet!W45</f>
        <v>0</v>
      </c>
      <c r="X44">
        <f>[1]TDSheet!X45</f>
        <v>0</v>
      </c>
      <c r="Y44">
        <f>[1]TDSheet!Y45</f>
        <v>0</v>
      </c>
      <c r="Z44">
        <f>[1]TDSheet!Z45</f>
        <v>0</v>
      </c>
      <c r="AA44">
        <f>[1]TDSheet!AA45</f>
        <v>0</v>
      </c>
      <c r="AB44">
        <f>[1]TDSheet!AB45</f>
        <v>0</v>
      </c>
      <c r="AC44">
        <f>[1]TDSheet!AC45</f>
        <v>0</v>
      </c>
      <c r="AD44">
        <f>[1]TDSheet!AD45</f>
        <v>0</v>
      </c>
      <c r="AE44">
        <f>[1]TDSheet!AE45</f>
        <v>0</v>
      </c>
      <c r="AF44">
        <f>[1]TDSheet!AF45</f>
        <v>0</v>
      </c>
      <c r="AG44">
        <f>[1]TDSheet!AG45</f>
        <v>0</v>
      </c>
      <c r="AH44">
        <f>[1]TDSheet!AH45</f>
        <v>0</v>
      </c>
      <c r="AI44">
        <f>[1]TDSheet!AI45</f>
        <v>0</v>
      </c>
      <c r="AJ44">
        <f>[1]TDSheet!AJ45</f>
        <v>0</v>
      </c>
      <c r="AK44">
        <f>[1]TDSheet!AK45</f>
        <v>0</v>
      </c>
      <c r="AL44">
        <f>[1]TDSheet!AL45</f>
        <v>0</v>
      </c>
      <c r="AM44">
        <f>[1]TDSheet!AM45</f>
        <v>0</v>
      </c>
      <c r="AN44">
        <f>[1]TDSheet!AN45</f>
        <v>0</v>
      </c>
      <c r="AO44">
        <f>[1]TDSheet!AO45</f>
        <v>0</v>
      </c>
      <c r="AP44">
        <f>[1]TDSheet!AP45</f>
        <v>0</v>
      </c>
      <c r="AQ44">
        <f>[1]TDSheet!AQ45</f>
        <v>0</v>
      </c>
      <c r="AR44">
        <f>[1]TDSheet!AR45</f>
        <v>0</v>
      </c>
      <c r="AS44">
        <f>[1]TDSheet!AS45</f>
        <v>0</v>
      </c>
      <c r="AT44">
        <f>[1]TDSheet!AT45</f>
        <v>0</v>
      </c>
      <c r="AU44">
        <f>[1]TDSheet!AU45</f>
        <v>0</v>
      </c>
      <c r="AV44">
        <f>[1]TDSheet!AV45</f>
        <v>0</v>
      </c>
      <c r="AW44">
        <f>[1]TDSheet!AW45</f>
        <v>0</v>
      </c>
      <c r="AX44">
        <f>[1]TDSheet!AX45</f>
        <v>0</v>
      </c>
      <c r="AY44">
        <f>[1]TDSheet!AY45</f>
        <v>0</v>
      </c>
      <c r="AZ44">
        <f>[1]TDSheet!AZ45</f>
        <v>0</v>
      </c>
      <c r="BA44" t="str">
        <f>[1]TDSheet!BA45</f>
        <v>8-958-816-59-00</v>
      </c>
      <c r="BB44">
        <f>[1]TDSheet!BB45</f>
        <v>0</v>
      </c>
      <c r="BC44">
        <f>[1]TDSheet!BC45</f>
        <v>0</v>
      </c>
      <c r="BD44">
        <f>[1]TDSheet!BD45</f>
        <v>0</v>
      </c>
      <c r="BE44">
        <f>[1]TDSheet!BE45</f>
        <v>0</v>
      </c>
    </row>
    <row r="45" spans="1:57" x14ac:dyDescent="0.25">
      <c r="A45" t="str">
        <f>[1]TDSheet!A46</f>
        <v>Семенцов Александр Сергеевич</v>
      </c>
      <c r="B45" t="str">
        <f>[1]TDSheet!B46</f>
        <v>Гидроизолировщик</v>
      </c>
      <c r="C45" t="str">
        <f>TEXT([1]TDSheet!C46,"ДД.ММ.ГГГГ")</f>
        <v xml:space="preserve"> 19.06.1985</v>
      </c>
      <c r="D45" t="str">
        <f>[1]TDSheet!D46</f>
        <v>РОССИЯ</v>
      </c>
      <c r="E45" t="str">
        <f>[1]TDSheet!E46</f>
        <v>460600425484</v>
      </c>
      <c r="F45" t="str">
        <f>[1]TDSheet!F46</f>
        <v xml:space="preserve"> 126-541-064 36</v>
      </c>
      <c r="G45" t="str">
        <f>[1]TDSheet!G46</f>
        <v>Паспорт гражданина РФ</v>
      </c>
      <c r="H45" t="str">
        <f>[1]TDSheet!H46</f>
        <v>Серия</v>
      </c>
      <c r="I45">
        <f>[1]TDSheet!I46</f>
        <v>3805</v>
      </c>
      <c r="J45" t="str">
        <f>[1]TDSheet!J46</f>
        <v>Номер</v>
      </c>
      <c r="K45">
        <f>[1]TDSheet!K46</f>
        <v>301538</v>
      </c>
      <c r="L45" t="str">
        <f>[1]TDSheet!L46</f>
        <v>Выдан</v>
      </c>
      <c r="M45" t="str">
        <f>TEXT([1]TDSheet!M46,"ДД.ММ.ГГГГ")</f>
        <v>18.08.2005</v>
      </c>
      <c r="N45" t="str">
        <f>[1]TDSheet!N46</f>
        <v xml:space="preserve">выдан УВД г. Железногорска и Железногорского района Курской области </v>
      </c>
      <c r="O45" t="str">
        <f>[1]TDSheet!O46</f>
        <v>462-007</v>
      </c>
      <c r="P45" t="str">
        <f>[1]TDSheet!P46</f>
        <v xml:space="preserve">Серия 3805 Номер 301538,Выдан 18.08.2005 выдан УВД г. Железногорска и Железногорского района Курской области </v>
      </c>
      <c r="Q45" t="str">
        <f>[1]TDSheet!Q46</f>
        <v xml:space="preserve"> пос. Новоандросово ул. Пионерская д. 28 кв. 2</v>
      </c>
      <c r="R45" t="str">
        <f>[1]TDSheet!R46</f>
        <v xml:space="preserve"> пос. Новоандросово ул. Пионерская д. 28 кв. 2</v>
      </c>
      <c r="S45">
        <f>[1]TDSheet!S46</f>
        <v>0</v>
      </c>
      <c r="T45" t="str">
        <f>[1]TDSheet!T46</f>
        <v>ТХЗП-0023</v>
      </c>
      <c r="U45">
        <f>[1]TDSheet!U46</f>
        <v>178</v>
      </c>
      <c r="V45" t="str">
        <f>[1]TDSheet!V46</f>
        <v>48-51</v>
      </c>
      <c r="W45" t="str">
        <f>[1]TDSheet!W46</f>
        <v>41-42</v>
      </c>
      <c r="X45">
        <f>[1]TDSheet!X46</f>
        <v>0</v>
      </c>
      <c r="Y45">
        <f>[1]TDSheet!Y46</f>
        <v>0</v>
      </c>
      <c r="Z45">
        <f>[1]TDSheet!Z46</f>
        <v>44537</v>
      </c>
      <c r="AA45" t="str">
        <f>[1]TDSheet!AA46</f>
        <v>07-12/21-ТП-16</v>
      </c>
      <c r="AB45">
        <f>[1]TDSheet!AB46</f>
        <v>0</v>
      </c>
      <c r="AC45">
        <f>[1]TDSheet!AC46</f>
        <v>0</v>
      </c>
      <c r="AD45">
        <f>[1]TDSheet!AD46</f>
        <v>0</v>
      </c>
      <c r="AE45">
        <f>[1]TDSheet!AE46</f>
        <v>0</v>
      </c>
      <c r="AF45">
        <f>[1]TDSheet!AF46</f>
        <v>0</v>
      </c>
      <c r="AG45">
        <f>[1]TDSheet!AG46</f>
        <v>0</v>
      </c>
      <c r="AH45">
        <f>[1]TDSheet!AH46</f>
        <v>0</v>
      </c>
      <c r="AI45">
        <f>[1]TDSheet!AI46</f>
        <v>0</v>
      </c>
      <c r="AJ45">
        <f>[1]TDSheet!AJ46</f>
        <v>0</v>
      </c>
      <c r="AK45">
        <f>[1]TDSheet!AK46</f>
        <v>0</v>
      </c>
      <c r="AL45">
        <f>[1]TDSheet!AL46</f>
        <v>0</v>
      </c>
      <c r="AM45">
        <f>[1]TDSheet!AM46</f>
        <v>0</v>
      </c>
      <c r="AN45">
        <f>[1]TDSheet!AN46</f>
        <v>0</v>
      </c>
      <c r="AO45">
        <f>[1]TDSheet!AO46</f>
        <v>0</v>
      </c>
      <c r="AP45">
        <f>[1]TDSheet!AP46</f>
        <v>0</v>
      </c>
      <c r="AQ45">
        <f>[1]TDSheet!AQ46</f>
        <v>0</v>
      </c>
      <c r="AR45">
        <f>[1]TDSheet!AR46</f>
        <v>0</v>
      </c>
      <c r="AS45">
        <f>[1]TDSheet!AS46</f>
        <v>0</v>
      </c>
      <c r="AT45">
        <f>[1]TDSheet!AT46</f>
        <v>0</v>
      </c>
      <c r="AU45">
        <f>[1]TDSheet!AU46</f>
        <v>0</v>
      </c>
      <c r="AV45">
        <f>[1]TDSheet!AV46</f>
        <v>0</v>
      </c>
      <c r="AW45">
        <f>[1]TDSheet!AW46</f>
        <v>0</v>
      </c>
      <c r="AX45">
        <f>[1]TDSheet!AX46</f>
        <v>0</v>
      </c>
      <c r="AY45">
        <f>[1]TDSheet!AY46</f>
        <v>0</v>
      </c>
      <c r="AZ45">
        <f>[1]TDSheet!AZ46</f>
        <v>0</v>
      </c>
      <c r="BA45" t="str">
        <f>[1]TDSheet!BA46</f>
        <v xml:space="preserve">Тел.8-919-136-65-88 </v>
      </c>
      <c r="BB45" t="str">
        <f>[1]TDSheet!BB46</f>
        <v>ksyu.s.1986@gmail.com</v>
      </c>
      <c r="BC45" t="str">
        <f>[1]TDSheet!BC46</f>
        <v>40817810500024570444</v>
      </c>
      <c r="BD45" t="str">
        <f>[1]TDSheet!BD46</f>
        <v>АО "Тинькофф Банк"</v>
      </c>
      <c r="BE45" t="str">
        <f>[1]TDSheet!BE46</f>
        <v>044525974</v>
      </c>
    </row>
    <row r="46" spans="1:57" x14ac:dyDescent="0.25">
      <c r="A46" t="str">
        <f>[1]TDSheet!A47</f>
        <v xml:space="preserve">Ламбринов Николай Фёдорович </v>
      </c>
      <c r="B46" t="str">
        <f>[1]TDSheet!B47</f>
        <v>Подсобный рабочий</v>
      </c>
      <c r="C46" t="str">
        <f>TEXT([1]TDSheet!C47,"ДД.ММ.ГГГГ")</f>
        <v>20.02.1985</v>
      </c>
      <c r="D46" t="str">
        <f>[1]TDSheet!D47</f>
        <v>УКРАИНА</v>
      </c>
      <c r="E46" t="str">
        <f>[1]TDSheet!E47</f>
        <v>361407412888</v>
      </c>
      <c r="F46" t="str">
        <f>[1]TDSheet!F47</f>
        <v>202-762835 46</v>
      </c>
      <c r="G46" t="str">
        <f>[1]TDSheet!G47</f>
        <v>Иностранный паспорт</v>
      </c>
      <c r="H46" t="str">
        <f>[1]TDSheet!H47</f>
        <v>Серия</v>
      </c>
      <c r="I46" t="str">
        <f>[1]TDSheet!I47</f>
        <v>BE</v>
      </c>
      <c r="J46" t="str">
        <f>[1]TDSheet!J47</f>
        <v>Номер</v>
      </c>
      <c r="K46">
        <f>[1]TDSheet!K47</f>
        <v>107210</v>
      </c>
      <c r="L46" t="str">
        <f>[1]TDSheet!L47</f>
        <v>Выдан</v>
      </c>
      <c r="M46" t="str">
        <f>TEXT([1]TDSheet!M47,"ДД.ММ.ГГГГ")</f>
        <v>07.09.2001</v>
      </c>
      <c r="N46" t="str">
        <f>[1]TDSheet!N47</f>
        <v>Будёновским РВДМУ УМВС Украины в Донецкой области</v>
      </c>
      <c r="O46">
        <f>[1]TDSheet!O47</f>
        <v>0</v>
      </c>
      <c r="P46" t="str">
        <f>[1]TDSheet!P47</f>
        <v>Серия BE Номер 107210,Выдан 07.09.2001 Будёновским РВДМУ УМВС Украины в Донецкой области</v>
      </c>
      <c r="Q46" t="str">
        <f>[1]TDSheet!Q47</f>
        <v>г. Москва, Ленинский проспект 87</v>
      </c>
      <c r="R46" t="str">
        <f>[1]TDSheet!R47</f>
        <v>г. Москва, Ленинский проспект 87</v>
      </c>
      <c r="S46" t="str">
        <f>[1]TDSheet!S47</f>
        <v>Патент: серия 77 номер 2106281926 от 14.12.2021 Отдел внешней трудовой миграции УВМ ГУ МВД России по Москве</v>
      </c>
      <c r="T46">
        <f>[1]TDSheet!T47</f>
        <v>0</v>
      </c>
      <c r="U46">
        <f>[1]TDSheet!U47</f>
        <v>176</v>
      </c>
      <c r="V46">
        <f>[1]TDSheet!V47</f>
        <v>52</v>
      </c>
      <c r="W46">
        <f>[1]TDSheet!W47</f>
        <v>42</v>
      </c>
      <c r="X46">
        <f>[1]TDSheet!X47</f>
        <v>0</v>
      </c>
      <c r="Y46">
        <f>[1]TDSheet!Y47</f>
        <v>0</v>
      </c>
      <c r="Z46">
        <f>[1]TDSheet!Z47</f>
        <v>44547</v>
      </c>
      <c r="AA46">
        <f>[1]TDSheet!AA47</f>
        <v>0</v>
      </c>
      <c r="AB46">
        <f>[1]TDSheet!AB47</f>
        <v>0</v>
      </c>
      <c r="AC46">
        <f>[1]TDSheet!AC47</f>
        <v>0</v>
      </c>
      <c r="AD46">
        <f>[1]TDSheet!AD47</f>
        <v>0</v>
      </c>
      <c r="AE46">
        <f>[1]TDSheet!AE47</f>
        <v>0</v>
      </c>
      <c r="AF46">
        <f>[1]TDSheet!AF47</f>
        <v>0</v>
      </c>
      <c r="AG46" t="str">
        <f>[1]TDSheet!AG47</f>
        <v>не надо</v>
      </c>
      <c r="AH46" t="str">
        <f>[1]TDSheet!AH47</f>
        <v>не надо</v>
      </c>
      <c r="AI46" t="str">
        <f>[1]TDSheet!AI47</f>
        <v>не надо</v>
      </c>
      <c r="AJ46">
        <f>[1]TDSheet!AJ47</f>
        <v>0</v>
      </c>
      <c r="AK46">
        <f>[1]TDSheet!AK47</f>
        <v>0</v>
      </c>
      <c r="AL46" t="str">
        <f>[1]TDSheet!AL47</f>
        <v>не надо</v>
      </c>
      <c r="AM46" t="str">
        <f>[1]TDSheet!AM47</f>
        <v>не надо</v>
      </c>
      <c r="AN46" t="str">
        <f>[1]TDSheet!AN47</f>
        <v>не надо</v>
      </c>
      <c r="AO46" t="str">
        <f>[1]TDSheet!AO47</f>
        <v>не надо</v>
      </c>
      <c r="AP46" t="str">
        <f>[1]TDSheet!AP47</f>
        <v>не надо</v>
      </c>
      <c r="AQ46" t="str">
        <f>[1]TDSheet!AQ47</f>
        <v>не надо</v>
      </c>
      <c r="AR46" t="str">
        <f>[1]TDSheet!AR47</f>
        <v>не надо</v>
      </c>
      <c r="AS46" t="str">
        <f>[1]TDSheet!AS47</f>
        <v>не надо</v>
      </c>
      <c r="AT46" t="str">
        <f>[1]TDSheet!AT47</f>
        <v>не надо</v>
      </c>
      <c r="AU46" t="str">
        <f>[1]TDSheet!AU47</f>
        <v>не надо</v>
      </c>
      <c r="AV46" t="str">
        <f>[1]TDSheet!AV47</f>
        <v>не надо</v>
      </c>
      <c r="AW46">
        <f>[1]TDSheet!AW47</f>
        <v>0</v>
      </c>
      <c r="AX46">
        <f>[1]TDSheet!AX47</f>
        <v>0</v>
      </c>
      <c r="AY46">
        <f>[1]TDSheet!AY47</f>
        <v>0</v>
      </c>
      <c r="AZ46">
        <f>[1]TDSheet!AZ47</f>
        <v>0</v>
      </c>
      <c r="BA46">
        <f>[1]TDSheet!BA47</f>
        <v>79663884881</v>
      </c>
      <c r="BB46">
        <f>[1]TDSheet!BB47</f>
        <v>0</v>
      </c>
      <c r="BC46" t="str">
        <f>[1]TDSheet!BC47</f>
        <v>40820810940100136680</v>
      </c>
      <c r="BD46" t="str">
        <f>[1]TDSheet!BD47</f>
        <v>ПАО СБЕРБАНК</v>
      </c>
      <c r="BE46" t="str">
        <f>[1]TDSheet!BE47</f>
        <v>044525225</v>
      </c>
    </row>
    <row r="47" spans="1:57" x14ac:dyDescent="0.25">
      <c r="A47" t="str">
        <f>[1]TDSheet!A48</f>
        <v>Беленков Александр Владимирович</v>
      </c>
      <c r="B47" t="str">
        <f>[1]TDSheet!B48</f>
        <v>Кровельщик</v>
      </c>
      <c r="C47" t="str">
        <f>TEXT([1]TDSheet!C48,"ДД.ММ.ГГГГ")</f>
        <v>25.10.1987</v>
      </c>
      <c r="D47" t="str">
        <f>[1]TDSheet!D48</f>
        <v>БЕЛАРУСЬ</v>
      </c>
      <c r="E47" t="str">
        <f>[1]TDSheet!E48</f>
        <v>503244387802</v>
      </c>
      <c r="F47" t="str">
        <f>[1]TDSheet!F48</f>
        <v xml:space="preserve"> 213-078-760 46</v>
      </c>
      <c r="G47" t="str">
        <f>[1]TDSheet!G48</f>
        <v>Иностранный паспорт</v>
      </c>
      <c r="H47" t="str">
        <f>[1]TDSheet!H48</f>
        <v>Серия</v>
      </c>
      <c r="I47" t="str">
        <f>[1]TDSheet!I48</f>
        <v>КВ</v>
      </c>
      <c r="J47" t="str">
        <f>[1]TDSheet!J48</f>
        <v>Номер</v>
      </c>
      <c r="K47">
        <f>[1]TDSheet!K48</f>
        <v>1894635</v>
      </c>
      <c r="L47" t="str">
        <f>[1]TDSheet!L48</f>
        <v>Выдан</v>
      </c>
      <c r="M47" t="str">
        <f>TEXT([1]TDSheet!M48,"ДД.ММ.ГГГГ")</f>
        <v>21.11.2012</v>
      </c>
      <c r="N47" t="str">
        <f>[1]TDSheet!N48</f>
        <v>выдан Чаусский РОВД Могилевской области, 21.11.2012г.</v>
      </c>
      <c r="O47">
        <f>[1]TDSheet!O48</f>
        <v>0</v>
      </c>
      <c r="P47" t="str">
        <f>[1]TDSheet!P48</f>
        <v>Серия КВ Номер 1894635,Выдан 21.11.2012 выдан Чаусский РОВД Могилевской области, 21.11.2012г.</v>
      </c>
      <c r="Q47" t="str">
        <f>[1]TDSheet!Q48</f>
        <v>Могилевская область, г.Чаусы, ул.Железнодорожная, д. 13,кв.3</v>
      </c>
      <c r="R47" t="str">
        <f>[1]TDSheet!R48</f>
        <v>Могилевская область, г.Чаусы, ул.Железнодорожная, д. 13,кв.3</v>
      </c>
      <c r="S47">
        <f>[1]TDSheet!S48</f>
        <v>0</v>
      </c>
      <c r="T47" t="str">
        <f>[1]TDSheet!T48</f>
        <v>ТХЗП-00224</v>
      </c>
      <c r="U47">
        <f>[1]TDSheet!U48</f>
        <v>168</v>
      </c>
      <c r="V47">
        <f>[1]TDSheet!V48</f>
        <v>48</v>
      </c>
      <c r="W47">
        <f>[1]TDSheet!W48</f>
        <v>42</v>
      </c>
      <c r="X47">
        <f>[1]TDSheet!X48</f>
        <v>0</v>
      </c>
      <c r="Y47">
        <f>[1]TDSheet!Y48</f>
        <v>0</v>
      </c>
      <c r="Z47">
        <f>[1]TDSheet!Z48</f>
        <v>44543</v>
      </c>
      <c r="AA47" t="str">
        <f>[1]TDSheet!AA48</f>
        <v xml:space="preserve"> 13/12-1_2021</v>
      </c>
      <c r="AB47">
        <f>[1]TDSheet!AB48</f>
        <v>0</v>
      </c>
      <c r="AC47">
        <f>[1]TDSheet!AC48</f>
        <v>0</v>
      </c>
      <c r="AD47">
        <f>[1]TDSheet!AD48</f>
        <v>0</v>
      </c>
      <c r="AE47">
        <f>[1]TDSheet!AE48</f>
        <v>0</v>
      </c>
      <c r="AF47">
        <f>[1]TDSheet!AF48</f>
        <v>0</v>
      </c>
      <c r="AG47">
        <f>[1]TDSheet!AG48</f>
        <v>0</v>
      </c>
      <c r="AH47">
        <f>[1]TDSheet!AH48</f>
        <v>0</v>
      </c>
      <c r="AI47">
        <f>[1]TDSheet!AI48</f>
        <v>0</v>
      </c>
      <c r="AJ47">
        <f>[1]TDSheet!AJ48</f>
        <v>0</v>
      </c>
      <c r="AK47">
        <f>[1]TDSheet!AK48</f>
        <v>0</v>
      </c>
      <c r="AL47">
        <f>[1]TDSheet!AL48</f>
        <v>0</v>
      </c>
      <c r="AM47">
        <f>[1]TDSheet!AM48</f>
        <v>0</v>
      </c>
      <c r="AN47">
        <f>[1]TDSheet!AN48</f>
        <v>0</v>
      </c>
      <c r="AO47">
        <f>[1]TDSheet!AO48</f>
        <v>0</v>
      </c>
      <c r="AP47">
        <f>[1]TDSheet!AP48</f>
        <v>0</v>
      </c>
      <c r="AQ47">
        <f>[1]TDSheet!AQ48</f>
        <v>0</v>
      </c>
      <c r="AR47">
        <f>[1]TDSheet!AR48</f>
        <v>0</v>
      </c>
      <c r="AS47">
        <f>[1]TDSheet!AS48</f>
        <v>0</v>
      </c>
      <c r="AT47">
        <f>[1]TDSheet!AT48</f>
        <v>0</v>
      </c>
      <c r="AU47">
        <f>[1]TDSheet!AU48</f>
        <v>0</v>
      </c>
      <c r="AV47">
        <f>[1]TDSheet!AV48</f>
        <v>0</v>
      </c>
      <c r="AW47">
        <f>[1]TDSheet!AW48</f>
        <v>0</v>
      </c>
      <c r="AX47">
        <f>[1]TDSheet!AX48</f>
        <v>0</v>
      </c>
      <c r="AY47">
        <f>[1]TDSheet!AY48</f>
        <v>0</v>
      </c>
      <c r="AZ47">
        <f>[1]TDSheet!AZ48</f>
        <v>0</v>
      </c>
      <c r="BA47" t="str">
        <f>[1]TDSheet!BA48</f>
        <v xml:space="preserve"> 8-951-520-06-11</v>
      </c>
      <c r="BB47">
        <f>[1]TDSheet!BB48</f>
        <v>0</v>
      </c>
      <c r="BC47" t="str">
        <f>[1]TDSheet!BC48</f>
        <v>40820810940011381430</v>
      </c>
      <c r="BD47" t="str">
        <f>[1]TDSheet!BD48</f>
        <v>ПАО СБЕРБАНК</v>
      </c>
      <c r="BE47" t="str">
        <f>[1]TDSheet!BE48</f>
        <v>044525225</v>
      </c>
    </row>
    <row r="48" spans="1:57" x14ac:dyDescent="0.25">
      <c r="A48" t="str">
        <f>[1]TDSheet!A49</f>
        <v xml:space="preserve">Турешов Азатбай Даулетбаевич </v>
      </c>
      <c r="B48" t="str">
        <f>[1]TDSheet!B49</f>
        <v>Подсобный рабочий</v>
      </c>
      <c r="C48" t="str">
        <f>TEXT([1]TDSheet!C49,"ДД.ММ.ГГГГ")</f>
        <v>06.12.1975</v>
      </c>
      <c r="D48" t="str">
        <f>[1]TDSheet!D49</f>
        <v>Узбекистан</v>
      </c>
      <c r="E48" t="str">
        <f>[1]TDSheet!E49</f>
        <v>366319944748</v>
      </c>
      <c r="F48" t="str">
        <f>[1]TDSheet!F49</f>
        <v>202-842-341 25</v>
      </c>
      <c r="G48" t="str">
        <f>[1]TDSheet!G49</f>
        <v>Иностранный паспорт</v>
      </c>
      <c r="H48" t="str">
        <f>[1]TDSheet!H49</f>
        <v>Серия</v>
      </c>
      <c r="I48" t="str">
        <f>[1]TDSheet!I49</f>
        <v>FK</v>
      </c>
      <c r="J48" t="str">
        <f>[1]TDSheet!J49</f>
        <v>Номер</v>
      </c>
      <c r="K48" t="str">
        <f>[1]TDSheet!K49</f>
        <v>0244450</v>
      </c>
      <c r="L48" t="str">
        <f>[1]TDSheet!L49</f>
        <v>Выдан</v>
      </c>
      <c r="M48" t="str">
        <f>TEXT([1]TDSheet!M49,"ДД.ММ.ГГГГ")</f>
        <v>17.02.2014</v>
      </c>
      <c r="N48" t="str">
        <f>[1]TDSheet!N49</f>
        <v xml:space="preserve">MIA 35222  </v>
      </c>
      <c r="O48">
        <f>[1]TDSheet!O49</f>
        <v>0</v>
      </c>
      <c r="P48" t="str">
        <f>[1]TDSheet!P49</f>
        <v xml:space="preserve">Серия FK Номер 0244450,Выдан 17.02.2014 MIA 35222  </v>
      </c>
      <c r="Q48" t="str">
        <f>[1]TDSheet!Q49</f>
        <v xml:space="preserve">г. Москва Маршала Кожедубова 2 корпус 1 </v>
      </c>
      <c r="R48" t="str">
        <f>[1]TDSheet!R49</f>
        <v xml:space="preserve">г. Москва Маршала Кожедубова 2 корпус 1 </v>
      </c>
      <c r="S48" t="str">
        <f>[1]TDSheet!S49</f>
        <v>Патент: серия 77 номер 2106350190 от 16.12.2021  Отдел внешней трудовой миграции УВМ ГУ МВД России по Москве</v>
      </c>
      <c r="T48" t="str">
        <f>[1]TDSheet!T49</f>
        <v>ТХЗП-00226</v>
      </c>
      <c r="U48">
        <f>[1]TDSheet!U49</f>
        <v>170</v>
      </c>
      <c r="V48">
        <f>[1]TDSheet!V49</f>
        <v>52</v>
      </c>
      <c r="W48">
        <f>[1]TDSheet!W49</f>
        <v>43</v>
      </c>
      <c r="X48">
        <f>[1]TDSheet!X49</f>
        <v>0</v>
      </c>
      <c r="Y48">
        <f>[1]TDSheet!Y49</f>
        <v>0</v>
      </c>
      <c r="Z48">
        <f>[1]TDSheet!Z49</f>
        <v>44553</v>
      </c>
      <c r="AA48">
        <f>[1]TDSheet!AA49</f>
        <v>0</v>
      </c>
      <c r="AB48">
        <f>[1]TDSheet!AB49</f>
        <v>0</v>
      </c>
      <c r="AC48">
        <f>[1]TDSheet!AC49</f>
        <v>0</v>
      </c>
      <c r="AD48">
        <f>[1]TDSheet!AD49</f>
        <v>0</v>
      </c>
      <c r="AE48">
        <f>[1]TDSheet!AE49</f>
        <v>0</v>
      </c>
      <c r="AF48" t="str">
        <f>[1]TDSheet!AF49</f>
        <v>не надо</v>
      </c>
      <c r="AG48" t="str">
        <f>[1]TDSheet!AG49</f>
        <v>не надо</v>
      </c>
      <c r="AH48" t="str">
        <f>[1]TDSheet!AH49</f>
        <v>не надо</v>
      </c>
      <c r="AI48">
        <f>[1]TDSheet!AI49</f>
        <v>0</v>
      </c>
      <c r="AJ48">
        <f>[1]TDSheet!AJ49</f>
        <v>0</v>
      </c>
      <c r="AK48" t="str">
        <f>[1]TDSheet!AK49</f>
        <v>не надо</v>
      </c>
      <c r="AL48" t="str">
        <f>[1]TDSheet!AL49</f>
        <v>не надо</v>
      </c>
      <c r="AM48" t="str">
        <f>[1]TDSheet!AM49</f>
        <v>не надо</v>
      </c>
      <c r="AN48" t="str">
        <f>[1]TDSheet!AN49</f>
        <v>не надо</v>
      </c>
      <c r="AO48" t="str">
        <f>[1]TDSheet!AO49</f>
        <v>не надо</v>
      </c>
      <c r="AP48" t="str">
        <f>[1]TDSheet!AP49</f>
        <v>не надо</v>
      </c>
      <c r="AQ48" t="str">
        <f>[1]TDSheet!AQ49</f>
        <v>не надо</v>
      </c>
      <c r="AR48" t="str">
        <f>[1]TDSheet!AR49</f>
        <v>не надо</v>
      </c>
      <c r="AS48" t="str">
        <f>[1]TDSheet!AS49</f>
        <v>не надо</v>
      </c>
      <c r="AT48" t="str">
        <f>[1]TDSheet!AT49</f>
        <v>не надо</v>
      </c>
      <c r="AU48" t="str">
        <f>[1]TDSheet!AU49</f>
        <v>не надо</v>
      </c>
      <c r="AV48">
        <f>[1]TDSheet!AV49</f>
        <v>0</v>
      </c>
      <c r="AW48">
        <f>[1]TDSheet!AW49</f>
        <v>0</v>
      </c>
      <c r="AX48">
        <f>[1]TDSheet!AX49</f>
        <v>0</v>
      </c>
      <c r="AY48">
        <f>[1]TDSheet!AY49</f>
        <v>0</v>
      </c>
      <c r="AZ48">
        <f>[1]TDSheet!AZ49</f>
        <v>0</v>
      </c>
      <c r="BA48" t="str">
        <f>[1]TDSheet!BA49</f>
        <v>8998937074975</v>
      </c>
      <c r="BB48">
        <f>[1]TDSheet!BB49</f>
        <v>0</v>
      </c>
      <c r="BC48" t="str">
        <f>[1]TDSheet!BC49</f>
        <v>40820810040100104596</v>
      </c>
      <c r="BD48" t="str">
        <f>[1]TDSheet!BD49</f>
        <v>ПАО СБЕРБАНК</v>
      </c>
      <c r="BE48" t="str">
        <f>[1]TDSheet!BE49</f>
        <v>044525225</v>
      </c>
    </row>
    <row r="49" spans="1:57" x14ac:dyDescent="0.25">
      <c r="A49" t="str">
        <f>[1]TDSheet!A50</f>
        <v>Торемуратов Мухтарбай Базарбаевич</v>
      </c>
      <c r="B49" t="str">
        <f>[1]TDSheet!B50</f>
        <v>Подсобный рабочий</v>
      </c>
      <c r="C49" t="str">
        <f>TEXT([1]TDSheet!C50,"ДД.ММ.ГГГГ")</f>
        <v>04.01.1982</v>
      </c>
      <c r="D49" t="str">
        <f>[1]TDSheet!D50</f>
        <v>Узбекистан</v>
      </c>
      <c r="E49" t="str">
        <f>[1]TDSheet!E50</f>
        <v>504724944364</v>
      </c>
      <c r="F49" t="str">
        <f>[1]TDSheet!F50</f>
        <v>205-203-091 96</v>
      </c>
      <c r="G49" t="str">
        <f>[1]TDSheet!G50</f>
        <v>Иностранный паспорт</v>
      </c>
      <c r="H49" t="str">
        <f>[1]TDSheet!H50</f>
        <v>Серия</v>
      </c>
      <c r="I49" t="str">
        <f>[1]TDSheet!I50</f>
        <v>FK</v>
      </c>
      <c r="J49" t="str">
        <f>[1]TDSheet!J50</f>
        <v>Номер</v>
      </c>
      <c r="K49">
        <f>[1]TDSheet!K50</f>
        <v>244443</v>
      </c>
      <c r="L49" t="str">
        <f>[1]TDSheet!L50</f>
        <v>Выдан</v>
      </c>
      <c r="M49" t="str">
        <f>TEXT([1]TDSheet!M50,"ДД.ММ.ГГГГ")</f>
        <v>03.11.2021</v>
      </c>
      <c r="N49" t="str">
        <f>[1]TDSheet!N50</f>
        <v>MIA 35223</v>
      </c>
      <c r="O49">
        <f>[1]TDSheet!O50</f>
        <v>0</v>
      </c>
      <c r="P49" t="str">
        <f>[1]TDSheet!P50</f>
        <v>Серия FK Номер 244443,Выдан 03.11.2021 MIA 35223</v>
      </c>
      <c r="Q49" t="str">
        <f>[1]TDSheet!Q50</f>
        <v>г. Москва Маршала Кожедубова 2 корпус 2</v>
      </c>
      <c r="R49" t="str">
        <f>[1]TDSheet!R50</f>
        <v>г. Москва Маршала Кожедубова 2 корпус 2</v>
      </c>
      <c r="S49" t="str">
        <f>[1]TDSheet!S50</f>
        <v>Патент: серия 77 номер 2106349765 от 16.12.2021  Отдел внешней трудовой миграции УВМ ГУ МВД России по Москве</v>
      </c>
      <c r="T49" t="str">
        <f>[1]TDSheet!T50</f>
        <v>ТХЗП-00222</v>
      </c>
      <c r="U49">
        <f>[1]TDSheet!U50</f>
        <v>180</v>
      </c>
      <c r="V49">
        <f>[1]TDSheet!V50</f>
        <v>48</v>
      </c>
      <c r="W49">
        <f>[1]TDSheet!W50</f>
        <v>43</v>
      </c>
      <c r="X49">
        <f>[1]TDSheet!X50</f>
        <v>0</v>
      </c>
      <c r="Y49">
        <f>[1]TDSheet!Y50</f>
        <v>0</v>
      </c>
      <c r="Z49">
        <f>[1]TDSheet!Z50</f>
        <v>44553</v>
      </c>
      <c r="AA49">
        <f>[1]TDSheet!AA50</f>
        <v>0</v>
      </c>
      <c r="AB49">
        <f>[1]TDSheet!AB50</f>
        <v>0</v>
      </c>
      <c r="AC49">
        <f>[1]TDSheet!AC50</f>
        <v>0</v>
      </c>
      <c r="AD49">
        <f>[1]TDSheet!AD50</f>
        <v>0</v>
      </c>
      <c r="AE49">
        <f>[1]TDSheet!AE50</f>
        <v>0</v>
      </c>
      <c r="AF49" t="str">
        <f>[1]TDSheet!AF50</f>
        <v>не надо</v>
      </c>
      <c r="AG49" t="str">
        <f>[1]TDSheet!AG50</f>
        <v>не надо</v>
      </c>
      <c r="AH49" t="str">
        <f>[1]TDSheet!AH50</f>
        <v>не надо</v>
      </c>
      <c r="AI49">
        <f>[1]TDSheet!AI50</f>
        <v>0</v>
      </c>
      <c r="AJ49">
        <f>[1]TDSheet!AJ50</f>
        <v>0</v>
      </c>
      <c r="AK49" t="str">
        <f>[1]TDSheet!AK50</f>
        <v>не надо</v>
      </c>
      <c r="AL49" t="str">
        <f>[1]TDSheet!AL50</f>
        <v>не надо</v>
      </c>
      <c r="AM49" t="str">
        <f>[1]TDSheet!AM50</f>
        <v>не надо</v>
      </c>
      <c r="AN49" t="str">
        <f>[1]TDSheet!AN50</f>
        <v>не надо</v>
      </c>
      <c r="AO49" t="str">
        <f>[1]TDSheet!AO50</f>
        <v>не надо</v>
      </c>
      <c r="AP49" t="str">
        <f>[1]TDSheet!AP50</f>
        <v>не надо</v>
      </c>
      <c r="AQ49" t="str">
        <f>[1]TDSheet!AQ50</f>
        <v>не надо</v>
      </c>
      <c r="AR49" t="str">
        <f>[1]TDSheet!AR50</f>
        <v>не надо</v>
      </c>
      <c r="AS49" t="str">
        <f>[1]TDSheet!AS50</f>
        <v>не надо</v>
      </c>
      <c r="AT49" t="str">
        <f>[1]TDSheet!AT50</f>
        <v>не надо</v>
      </c>
      <c r="AU49" t="str">
        <f>[1]TDSheet!AU50</f>
        <v>не надо</v>
      </c>
      <c r="AV49">
        <f>[1]TDSheet!AV50</f>
        <v>0</v>
      </c>
      <c r="AW49">
        <f>[1]TDSheet!AW50</f>
        <v>0</v>
      </c>
      <c r="AX49">
        <f>[1]TDSheet!AX50</f>
        <v>0</v>
      </c>
      <c r="AY49">
        <f>[1]TDSheet!AY50</f>
        <v>0</v>
      </c>
      <c r="AZ49">
        <f>[1]TDSheet!AZ50</f>
        <v>0</v>
      </c>
      <c r="BA49">
        <f>[1]TDSheet!BA50</f>
        <v>0</v>
      </c>
      <c r="BB49">
        <f>[1]TDSheet!BB50</f>
        <v>0</v>
      </c>
      <c r="BC49" t="str">
        <f>[1]TDSheet!BC50</f>
        <v>40820810440100104691</v>
      </c>
      <c r="BD49" t="str">
        <f>[1]TDSheet!BD50</f>
        <v>ПАО СБЕРБАНК</v>
      </c>
      <c r="BE49" t="str">
        <f>[1]TDSheet!BE50</f>
        <v>044525225</v>
      </c>
    </row>
    <row r="50" spans="1:57" x14ac:dyDescent="0.25">
      <c r="A50" t="str">
        <f>[1]TDSheet!A51</f>
        <v>Меркулов Виктор Николаевич</v>
      </c>
      <c r="B50" t="str">
        <f>[1]TDSheet!B51</f>
        <v>Подсобный рабочий</v>
      </c>
      <c r="C50" t="str">
        <f>TEXT([1]TDSheet!C51,"ДД.ММ.ГГГГ")</f>
        <v>25.11.1997</v>
      </c>
      <c r="D50" t="str">
        <f>[1]TDSheet!D51</f>
        <v>РОССИЯ</v>
      </c>
      <c r="E50" t="str">
        <f>[1]TDSheet!E51</f>
        <v>501910225650</v>
      </c>
      <c r="F50" t="str">
        <f>[1]TDSheet!F51</f>
        <v>168-467-267 18</v>
      </c>
      <c r="G50" t="str">
        <f>[1]TDSheet!G51</f>
        <v>Паспорт гражданина РФ</v>
      </c>
      <c r="H50" t="str">
        <f>[1]TDSheet!H51</f>
        <v>Серия</v>
      </c>
      <c r="I50" t="str">
        <f>[1]TDSheet!I51</f>
        <v>4621</v>
      </c>
      <c r="J50" t="str">
        <f>[1]TDSheet!J51</f>
        <v>Номер</v>
      </c>
      <c r="K50">
        <f>[1]TDSheet!K51</f>
        <v>376822</v>
      </c>
      <c r="L50" t="str">
        <f>[1]TDSheet!L51</f>
        <v>Выдан</v>
      </c>
      <c r="M50" t="str">
        <f>TEXT([1]TDSheet!M51,"ДД.ММ.ГГГГ")</f>
        <v>08.12.2021</v>
      </c>
      <c r="N50" t="str">
        <f>[1]TDSheet!N51</f>
        <v>ГУ МВД России по Московской области</v>
      </c>
      <c r="O50">
        <f>[1]TDSheet!O51</f>
        <v>0</v>
      </c>
      <c r="P50" t="str">
        <f>[1]TDSheet!P51</f>
        <v>Серия 4621 Номер 376822,Выдан 08.12.2021 ГУ МВД России по Московской области</v>
      </c>
      <c r="Q50" t="str">
        <f>[1]TDSheet!Q51</f>
        <v>Москвоская область г.Кашира п. Новоселки ул. Лесная д.9</v>
      </c>
      <c r="R50" t="str">
        <f>[1]TDSheet!R51</f>
        <v>Москвоская область г.Кашира п. Новоселки ул. Лесная д.9</v>
      </c>
      <c r="S50">
        <f>[1]TDSheet!S51</f>
        <v>0</v>
      </c>
      <c r="T50" t="str">
        <f>[1]TDSheet!T51</f>
        <v>ТХЗП-00230</v>
      </c>
      <c r="U50">
        <f>[1]TDSheet!U51</f>
        <v>183</v>
      </c>
      <c r="V50" t="str">
        <f>[1]TDSheet!V51</f>
        <v>54-56</v>
      </c>
      <c r="W50" t="str">
        <f>[1]TDSheet!W51</f>
        <v>44-45</v>
      </c>
      <c r="X50">
        <f>[1]TDSheet!X51</f>
        <v>0</v>
      </c>
      <c r="Y50">
        <f>[1]TDSheet!Y51</f>
        <v>0</v>
      </c>
      <c r="Z50">
        <f>[1]TDSheet!Z51</f>
        <v>44594</v>
      </c>
      <c r="AA50" t="str">
        <f>[1]TDSheet!AA51</f>
        <v>02/02-1_2022</v>
      </c>
      <c r="AB50">
        <f>[1]TDSheet!AB51</f>
        <v>0</v>
      </c>
      <c r="AC50">
        <f>[1]TDSheet!AC51</f>
        <v>0</v>
      </c>
      <c r="AD50">
        <f>[1]TDSheet!AD51</f>
        <v>0</v>
      </c>
      <c r="AE50">
        <f>[1]TDSheet!AE51</f>
        <v>0</v>
      </c>
      <c r="AF50" t="str">
        <f>[1]TDSheet!AF51</f>
        <v>не надо</v>
      </c>
      <c r="AG50" t="str">
        <f>[1]TDSheet!AG51</f>
        <v>не надо</v>
      </c>
      <c r="AH50" t="str">
        <f>[1]TDSheet!AH51</f>
        <v>не надо</v>
      </c>
      <c r="AI50">
        <f>[1]TDSheet!AI51</f>
        <v>0</v>
      </c>
      <c r="AJ50">
        <f>[1]TDSheet!AJ51</f>
        <v>0</v>
      </c>
      <c r="AK50" t="str">
        <f>[1]TDSheet!AK51</f>
        <v>не надо</v>
      </c>
      <c r="AL50" t="str">
        <f>[1]TDSheet!AL51</f>
        <v>не надо</v>
      </c>
      <c r="AM50" t="str">
        <f>[1]TDSheet!AM51</f>
        <v>не надо</v>
      </c>
      <c r="AN50" t="str">
        <f>[1]TDSheet!AN51</f>
        <v>не надо</v>
      </c>
      <c r="AO50" t="str">
        <f>[1]TDSheet!AO51</f>
        <v>не надо</v>
      </c>
      <c r="AP50" t="str">
        <f>[1]TDSheet!AP51</f>
        <v>не надо</v>
      </c>
      <c r="AQ50" t="str">
        <f>[1]TDSheet!AQ51</f>
        <v>не надо</v>
      </c>
      <c r="AR50" t="str">
        <f>[1]TDSheet!AR51</f>
        <v>не надо</v>
      </c>
      <c r="AS50" t="str">
        <f>[1]TDSheet!AS51</f>
        <v>не надо</v>
      </c>
      <c r="AT50" t="str">
        <f>[1]TDSheet!AT51</f>
        <v>не надо</v>
      </c>
      <c r="AU50" t="str">
        <f>[1]TDSheet!AU51</f>
        <v>не надо</v>
      </c>
      <c r="AV50">
        <f>[1]TDSheet!AV51</f>
        <v>0</v>
      </c>
      <c r="AW50">
        <f>[1]TDSheet!AW51</f>
        <v>0</v>
      </c>
      <c r="AX50">
        <f>[1]TDSheet!AX51</f>
        <v>0</v>
      </c>
      <c r="AY50">
        <f>[1]TDSheet!AY51</f>
        <v>0</v>
      </c>
      <c r="AZ50">
        <f>[1]TDSheet!AZ51</f>
        <v>0</v>
      </c>
      <c r="BA50">
        <f>[1]TDSheet!BA51</f>
        <v>89150072725</v>
      </c>
      <c r="BB50" t="str">
        <f>[1]TDSheet!BB51</f>
        <v>Viktori2597@icloud.com</v>
      </c>
      <c r="BC50" t="str">
        <f>[1]TDSheet!BC51</f>
        <v>40817810840100824050</v>
      </c>
      <c r="BD50" t="str">
        <f>[1]TDSheet!BD51</f>
        <v>ПАО СБЕРБАНК</v>
      </c>
      <c r="BE50" t="str">
        <f>[1]TDSheet!BE51</f>
        <v>044525225</v>
      </c>
    </row>
    <row r="51" spans="1:57" x14ac:dyDescent="0.25">
      <c r="A51" t="str">
        <f>[1]TDSheet!A52</f>
        <v>Магомедов Мурад Абдулаевич</v>
      </c>
      <c r="B51" t="str">
        <f>[1]TDSheet!B52</f>
        <v>Подсобный рабочий</v>
      </c>
      <c r="C51" t="str">
        <f>TEXT([1]TDSheet!C52,"ДД.ММ.ГГГГ")</f>
        <v>17.03.1995</v>
      </c>
      <c r="D51" t="str">
        <f>[1]TDSheet!D52</f>
        <v>РОССИЯ</v>
      </c>
      <c r="E51" t="str">
        <f>[1]TDSheet!E52</f>
        <v>261205328687</v>
      </c>
      <c r="F51" t="str">
        <f>[1]TDSheet!F52</f>
        <v>194-213-409 58</v>
      </c>
      <c r="G51" t="str">
        <f>[1]TDSheet!G52</f>
        <v>Паспорт гражданина РФ</v>
      </c>
      <c r="H51" t="str">
        <f>[1]TDSheet!H52</f>
        <v>Серия</v>
      </c>
      <c r="I51" t="str">
        <f>[1]TDSheet!I52</f>
        <v>0715</v>
      </c>
      <c r="J51" t="str">
        <f>[1]TDSheet!J52</f>
        <v>Номер</v>
      </c>
      <c r="K51">
        <f>[1]TDSheet!K52</f>
        <v>29134</v>
      </c>
      <c r="L51" t="str">
        <f>[1]TDSheet!L52</f>
        <v>Выдан</v>
      </c>
      <c r="M51" t="str">
        <f>TEXT([1]TDSheet!M52,"ДД.ММ.ГГГГ")</f>
        <v>26.03.2015</v>
      </c>
      <c r="N51" t="str">
        <f>[1]TDSheet!N52</f>
        <v>Отделением УФМС России Ставропольскому краю в Курском районе</v>
      </c>
      <c r="O51">
        <f>[1]TDSheet!O52</f>
        <v>0</v>
      </c>
      <c r="P51" t="str">
        <f>[1]TDSheet!P52</f>
        <v>Серия 0715 Номер 29134,Выдан 26.03.2015 Отделением УФМС России Ставропольскому краю в Курском районе</v>
      </c>
      <c r="Q51" t="str">
        <f>[1]TDSheet!Q52</f>
        <v>Ставропольский край, Курский район, пос. Песчаный, ул.Песчаная, дом 2</v>
      </c>
      <c r="R51" t="str">
        <f>[1]TDSheet!R52</f>
        <v>Ставропольский край, Курский район, пос. Песчаный, ул.Песчаная, дом 2</v>
      </c>
      <c r="S51">
        <f>[1]TDSheet!S52</f>
        <v>0</v>
      </c>
      <c r="T51">
        <f>[1]TDSheet!T52</f>
        <v>0</v>
      </c>
      <c r="U51">
        <f>[1]TDSheet!U52</f>
        <v>174</v>
      </c>
      <c r="V51">
        <f>[1]TDSheet!V52</f>
        <v>50</v>
      </c>
      <c r="W51">
        <f>[1]TDSheet!W52</f>
        <v>43</v>
      </c>
      <c r="X51">
        <f>[1]TDSheet!X52</f>
        <v>0</v>
      </c>
      <c r="Y51">
        <f>[1]TDSheet!Y52</f>
        <v>0</v>
      </c>
      <c r="Z51">
        <f>[1]TDSheet!Z52</f>
        <v>44599</v>
      </c>
      <c r="AA51">
        <f>[1]TDSheet!AA52</f>
        <v>0</v>
      </c>
      <c r="AB51">
        <f>[1]TDSheet!AB52</f>
        <v>0</v>
      </c>
      <c r="AC51">
        <f>[1]TDSheet!AC52</f>
        <v>0</v>
      </c>
      <c r="AD51">
        <f>[1]TDSheet!AD52</f>
        <v>0</v>
      </c>
      <c r="AE51">
        <f>[1]TDSheet!AE52</f>
        <v>0</v>
      </c>
      <c r="AF51" t="str">
        <f>[1]TDSheet!AF52</f>
        <v>не надо</v>
      </c>
      <c r="AG51" t="str">
        <f>[1]TDSheet!AG52</f>
        <v>не надо</v>
      </c>
      <c r="AH51" t="str">
        <f>[1]TDSheet!AH52</f>
        <v>не надо</v>
      </c>
      <c r="AI51">
        <f>[1]TDSheet!AI52</f>
        <v>0</v>
      </c>
      <c r="AJ51">
        <f>[1]TDSheet!AJ52</f>
        <v>0</v>
      </c>
      <c r="AK51" t="str">
        <f>[1]TDSheet!AK52</f>
        <v>не надо</v>
      </c>
      <c r="AL51" t="str">
        <f>[1]TDSheet!AL52</f>
        <v>не надо</v>
      </c>
      <c r="AM51" t="str">
        <f>[1]TDSheet!AM52</f>
        <v>не надо</v>
      </c>
      <c r="AN51" t="str">
        <f>[1]TDSheet!AN52</f>
        <v>не надо</v>
      </c>
      <c r="AO51" t="str">
        <f>[1]TDSheet!AO52</f>
        <v>не надо</v>
      </c>
      <c r="AP51" t="str">
        <f>[1]TDSheet!AP52</f>
        <v>не надо</v>
      </c>
      <c r="AQ51" t="str">
        <f>[1]TDSheet!AQ52</f>
        <v>не надо</v>
      </c>
      <c r="AR51" t="str">
        <f>[1]TDSheet!AR52</f>
        <v>не надо</v>
      </c>
      <c r="AS51" t="str">
        <f>[1]TDSheet!AS52</f>
        <v>не надо</v>
      </c>
      <c r="AT51" t="str">
        <f>[1]TDSheet!AT52</f>
        <v>не надо</v>
      </c>
      <c r="AU51" t="str">
        <f>[1]TDSheet!AU52</f>
        <v>не надо</v>
      </c>
      <c r="AV51">
        <f>[1]TDSheet!AV52</f>
        <v>0</v>
      </c>
      <c r="AW51">
        <f>[1]TDSheet!AW52</f>
        <v>0</v>
      </c>
      <c r="AX51">
        <f>[1]TDSheet!AX52</f>
        <v>0</v>
      </c>
      <c r="AY51">
        <f>[1]TDSheet!AY52</f>
        <v>0</v>
      </c>
      <c r="AZ51">
        <f>[1]TDSheet!AZ52</f>
        <v>0</v>
      </c>
      <c r="BA51">
        <f>[1]TDSheet!BA52</f>
        <v>89094818838</v>
      </c>
      <c r="BB51">
        <f>[1]TDSheet!BB52</f>
        <v>0</v>
      </c>
      <c r="BC51" t="str">
        <f>[1]TDSheet!BC52</f>
        <v>408178108000195366</v>
      </c>
      <c r="BD51" t="str">
        <f>[1]TDSheet!BD52</f>
        <v>АО "Тинькофф Банк"</v>
      </c>
      <c r="BE51" t="str">
        <f>[1]TDSheet!BE52</f>
        <v>044525974</v>
      </c>
    </row>
    <row r="52" spans="1:57" x14ac:dyDescent="0.25">
      <c r="A52" t="str">
        <f>[1]TDSheet!A53</f>
        <v>Аблаева Виктория Николаевна</v>
      </c>
      <c r="B52" t="str">
        <f>[1]TDSheet!B53</f>
        <v>Помощник директора</v>
      </c>
      <c r="C52" t="str">
        <f>TEXT([1]TDSheet!C53,"ДД.ММ.ГГГГ")</f>
        <v>19.08.1990</v>
      </c>
      <c r="D52" t="str">
        <f>[1]TDSheet!D53</f>
        <v>РОССИЯ</v>
      </c>
      <c r="E52">
        <f>[1]TDSheet!E53</f>
        <v>0</v>
      </c>
      <c r="F52">
        <f>[1]TDSheet!F53</f>
        <v>0</v>
      </c>
      <c r="G52" t="str">
        <f>[1]TDSheet!G53</f>
        <v>Паспорт гражданина РФ</v>
      </c>
      <c r="H52" t="str">
        <f>[1]TDSheet!H53</f>
        <v>Серия</v>
      </c>
      <c r="I52" t="str">
        <f>[1]TDSheet!I53</f>
        <v>5611</v>
      </c>
      <c r="J52" t="str">
        <f>[1]TDSheet!J53</f>
        <v>Номер</v>
      </c>
      <c r="K52">
        <f>[1]TDSheet!K53</f>
        <v>26515</v>
      </c>
      <c r="L52" t="str">
        <f>[1]TDSheet!L53</f>
        <v>Выдан</v>
      </c>
      <c r="M52" t="str">
        <f>TEXT([1]TDSheet!M53,"ДД.ММ.ГГГГ")</f>
        <v>01.09.2011</v>
      </c>
      <c r="N52">
        <f>[1]TDSheet!N53</f>
        <v>0</v>
      </c>
      <c r="O52">
        <f>[1]TDSheet!O53</f>
        <v>0</v>
      </c>
      <c r="P52" t="str">
        <f>[1]TDSheet!P53</f>
        <v xml:space="preserve">Серия 5611 Номер 26515,Выдан 01.09.2011 </v>
      </c>
      <c r="Q52">
        <f>[1]TDSheet!Q53</f>
        <v>0</v>
      </c>
      <c r="R52">
        <f>[1]TDSheet!R53</f>
        <v>0</v>
      </c>
      <c r="S52">
        <f>[1]TDSheet!S53</f>
        <v>0</v>
      </c>
      <c r="T52">
        <f>[1]TDSheet!T53</f>
        <v>0</v>
      </c>
      <c r="U52">
        <f>[1]TDSheet!U53</f>
        <v>0</v>
      </c>
      <c r="V52">
        <f>[1]TDSheet!V53</f>
        <v>0</v>
      </c>
      <c r="W52">
        <f>[1]TDSheet!W53</f>
        <v>0</v>
      </c>
      <c r="X52">
        <f>[1]TDSheet!X53</f>
        <v>0</v>
      </c>
      <c r="Y52">
        <f>[1]TDSheet!Y53</f>
        <v>0</v>
      </c>
      <c r="Z52">
        <f>[1]TDSheet!Z53</f>
        <v>0</v>
      </c>
      <c r="AA52">
        <f>[1]TDSheet!AA53</f>
        <v>0</v>
      </c>
      <c r="AB52">
        <f>[1]TDSheet!AB53</f>
        <v>0</v>
      </c>
      <c r="AC52">
        <f>[1]TDSheet!AC53</f>
        <v>0</v>
      </c>
      <c r="AD52">
        <f>[1]TDSheet!AD53</f>
        <v>0</v>
      </c>
      <c r="AE52">
        <f>[1]TDSheet!AE53</f>
        <v>0</v>
      </c>
      <c r="AF52">
        <f>[1]TDSheet!AF53</f>
        <v>0</v>
      </c>
      <c r="AG52">
        <f>[1]TDSheet!AG53</f>
        <v>0</v>
      </c>
      <c r="AH52">
        <f>[1]TDSheet!AH53</f>
        <v>0</v>
      </c>
      <c r="AI52">
        <f>[1]TDSheet!AI53</f>
        <v>0</v>
      </c>
      <c r="AJ52">
        <f>[1]TDSheet!AJ53</f>
        <v>0</v>
      </c>
      <c r="AK52">
        <f>[1]TDSheet!AK53</f>
        <v>0</v>
      </c>
      <c r="AL52">
        <f>[1]TDSheet!AL53</f>
        <v>0</v>
      </c>
      <c r="AM52">
        <f>[1]TDSheet!AM53</f>
        <v>0</v>
      </c>
      <c r="AN52">
        <f>[1]TDSheet!AN53</f>
        <v>0</v>
      </c>
      <c r="AO52">
        <f>[1]TDSheet!AO53</f>
        <v>0</v>
      </c>
      <c r="AP52">
        <f>[1]TDSheet!AP53</f>
        <v>0</v>
      </c>
      <c r="AQ52">
        <f>[1]TDSheet!AQ53</f>
        <v>0</v>
      </c>
      <c r="AR52">
        <f>[1]TDSheet!AR53</f>
        <v>0</v>
      </c>
      <c r="AS52">
        <f>[1]TDSheet!AS53</f>
        <v>0</v>
      </c>
      <c r="AT52">
        <f>[1]TDSheet!AT53</f>
        <v>0</v>
      </c>
      <c r="AU52">
        <f>[1]TDSheet!AU53</f>
        <v>0</v>
      </c>
      <c r="AV52">
        <f>[1]TDSheet!AV53</f>
        <v>0</v>
      </c>
      <c r="AW52">
        <f>[1]TDSheet!AW53</f>
        <v>0</v>
      </c>
      <c r="AX52">
        <f>[1]TDSheet!AX53</f>
        <v>0</v>
      </c>
      <c r="AY52">
        <f>[1]TDSheet!AY53</f>
        <v>0</v>
      </c>
      <c r="AZ52">
        <f>[1]TDSheet!AZ53</f>
        <v>0</v>
      </c>
      <c r="BA52" t="str">
        <f>[1]TDSheet!BA53</f>
        <v>8-925-209-29-70</v>
      </c>
      <c r="BB52">
        <f>[1]TDSheet!BB53</f>
        <v>0</v>
      </c>
      <c r="BC52" t="str">
        <f>[1]TDSheet!BC53</f>
        <v>40817810938061930953</v>
      </c>
      <c r="BD52" t="str">
        <f>[1]TDSheet!BD53</f>
        <v>ПАО СБЕРБАНК</v>
      </c>
      <c r="BE52" t="str">
        <f>[1]TDSheet!BE53</f>
        <v>044525225</v>
      </c>
    </row>
    <row r="53" spans="1:57" x14ac:dyDescent="0.25">
      <c r="A53" t="str">
        <f>[1]TDSheet!A54</f>
        <v xml:space="preserve">Даулетбаев Сагийтжан Бахытжанович </v>
      </c>
      <c r="B53" t="str">
        <f>[1]TDSheet!B54</f>
        <v>Подсобный рабочий</v>
      </c>
      <c r="C53" t="str">
        <f>TEXT([1]TDSheet!C54,"ДД.ММ.ГГГГ")</f>
        <v>13.02.1994</v>
      </c>
      <c r="D53" t="str">
        <f>[1]TDSheet!D54</f>
        <v>УЗБЕКИСТАН</v>
      </c>
      <c r="E53" t="str">
        <f>[1]TDSheet!E54</f>
        <v>771998768468</v>
      </c>
      <c r="F53">
        <f>[1]TDSheet!F54</f>
        <v>0</v>
      </c>
      <c r="G53" t="str">
        <f>[1]TDSheet!G54</f>
        <v>Иностранный паспорт</v>
      </c>
      <c r="H53" t="str">
        <f>[1]TDSheet!H54</f>
        <v>Серия</v>
      </c>
      <c r="I53" t="str">
        <f>[1]TDSheet!I54</f>
        <v>FK</v>
      </c>
      <c r="J53" t="str">
        <f>[1]TDSheet!J54</f>
        <v>Номер</v>
      </c>
      <c r="K53" t="str">
        <f>[1]TDSheet!K54</f>
        <v>0257946</v>
      </c>
      <c r="L53" t="str">
        <f>[1]TDSheet!L54</f>
        <v>Выдан</v>
      </c>
      <c r="M53" t="str">
        <f>TEXT([1]TDSheet!M54,"ДД.ММ.ГГГГ")</f>
        <v>11.12.2021</v>
      </c>
      <c r="N53" t="str">
        <f>[1]TDSheet!N54</f>
        <v>MIA 35222</v>
      </c>
      <c r="O53">
        <f>[1]TDSheet!O54</f>
        <v>0</v>
      </c>
      <c r="P53" t="str">
        <f>[1]TDSheet!P54</f>
        <v>Серия FK Номер 0257946,Выдан 11.12.2021 MIA 35222</v>
      </c>
      <c r="Q53" t="str">
        <f>[1]TDSheet!Q54</f>
        <v>Одинцовский район с. Немчиновка рублевский проезд стр.4</v>
      </c>
      <c r="R53" t="str">
        <f>[1]TDSheet!R54</f>
        <v>Одинцовский район с. Немчиновка рублевский проезд стр.4</v>
      </c>
      <c r="S53" t="str">
        <f>[1]TDSheet!S54</f>
        <v>Патент: серия 77 номер 2200748051 от 25.02.2022 Отдел внешней трудовой миграции УВМ ГУ МВД России по Москве</v>
      </c>
      <c r="T53" t="str">
        <f>[1]TDSheet!T54</f>
        <v>ТХЗП-00242</v>
      </c>
      <c r="U53">
        <f>[1]TDSheet!U54</f>
        <v>0</v>
      </c>
      <c r="V53">
        <f>[1]TDSheet!V54</f>
        <v>0</v>
      </c>
      <c r="W53">
        <f>[1]TDSheet!W54</f>
        <v>0</v>
      </c>
      <c r="X53">
        <f>[1]TDSheet!X54</f>
        <v>0</v>
      </c>
      <c r="Y53">
        <f>[1]TDSheet!Y54</f>
        <v>0</v>
      </c>
      <c r="Z53">
        <f>[1]TDSheet!Z54</f>
        <v>44623</v>
      </c>
      <c r="AA53" t="str">
        <f>[1]TDSheet!AA54</f>
        <v>03/03-3_2022</v>
      </c>
      <c r="AB53">
        <f>[1]TDSheet!AB54</f>
        <v>0</v>
      </c>
      <c r="AC53">
        <f>[1]TDSheet!AC54</f>
        <v>0</v>
      </c>
      <c r="AD53">
        <f>[1]TDSheet!AD54</f>
        <v>0</v>
      </c>
      <c r="AE53">
        <f>[1]TDSheet!AE54</f>
        <v>0</v>
      </c>
      <c r="AF53">
        <f>[1]TDSheet!AF54</f>
        <v>0</v>
      </c>
      <c r="AG53">
        <f>[1]TDSheet!AG54</f>
        <v>0</v>
      </c>
      <c r="AH53">
        <f>[1]TDSheet!AH54</f>
        <v>0</v>
      </c>
      <c r="AI53">
        <f>[1]TDSheet!AI54</f>
        <v>0</v>
      </c>
      <c r="AJ53">
        <f>[1]TDSheet!AJ54</f>
        <v>0</v>
      </c>
      <c r="AK53">
        <f>[1]TDSheet!AK54</f>
        <v>0</v>
      </c>
      <c r="AL53">
        <f>[1]TDSheet!AL54</f>
        <v>0</v>
      </c>
      <c r="AM53">
        <f>[1]TDSheet!AM54</f>
        <v>0</v>
      </c>
      <c r="AN53">
        <f>[1]TDSheet!AN54</f>
        <v>0</v>
      </c>
      <c r="AO53">
        <f>[1]TDSheet!AO54</f>
        <v>0</v>
      </c>
      <c r="AP53">
        <f>[1]TDSheet!AP54</f>
        <v>0</v>
      </c>
      <c r="AQ53">
        <f>[1]TDSheet!AQ54</f>
        <v>0</v>
      </c>
      <c r="AR53">
        <f>[1]TDSheet!AR54</f>
        <v>0</v>
      </c>
      <c r="AS53">
        <f>[1]TDSheet!AS54</f>
        <v>0</v>
      </c>
      <c r="AT53">
        <f>[1]TDSheet!AT54</f>
        <v>0</v>
      </c>
      <c r="AU53">
        <f>[1]TDSheet!AU54</f>
        <v>0</v>
      </c>
      <c r="AV53">
        <f>[1]TDSheet!AV54</f>
        <v>0</v>
      </c>
      <c r="AW53">
        <f>[1]TDSheet!AW54</f>
        <v>0</v>
      </c>
      <c r="AX53">
        <f>[1]TDSheet!AX54</f>
        <v>0</v>
      </c>
      <c r="AY53">
        <f>[1]TDSheet!AY54</f>
        <v>0</v>
      </c>
      <c r="AZ53">
        <f>[1]TDSheet!AZ54</f>
        <v>0</v>
      </c>
      <c r="BA53" t="str">
        <f>[1]TDSheet!BA54</f>
        <v>89989942413994</v>
      </c>
      <c r="BB53">
        <f>[1]TDSheet!BB54</f>
        <v>0</v>
      </c>
      <c r="BC53" t="str">
        <f>[1]TDSheet!BC54</f>
        <v>40820810640100257173</v>
      </c>
      <c r="BD53" t="str">
        <f>[1]TDSheet!BD54</f>
        <v>ПАО СБЕРБАНК</v>
      </c>
      <c r="BE53">
        <f>[1]TDSheet!BE54</f>
        <v>44525225</v>
      </c>
    </row>
    <row r="54" spans="1:57" x14ac:dyDescent="0.25">
      <c r="A54" t="str">
        <f>[1]TDSheet!A55</f>
        <v>Ибиев Рабадан Эсенович</v>
      </c>
      <c r="B54" t="str">
        <f>[1]TDSheet!B55</f>
        <v>Подсобный рабочий</v>
      </c>
      <c r="C54" t="str">
        <f>TEXT([1]TDSheet!C55,"ДД.ММ.ГГГГ")</f>
        <v>16.03.2021</v>
      </c>
      <c r="D54" t="str">
        <f>[1]TDSheet!D55</f>
        <v>РОССИЯ</v>
      </c>
      <c r="E54" t="str">
        <f>[1]TDSheet!E55</f>
        <v>261407072413</v>
      </c>
      <c r="F54" t="str">
        <f>[1]TDSheet!F55</f>
        <v>190-334-795 73</v>
      </c>
      <c r="G54" t="str">
        <f>[1]TDSheet!G55</f>
        <v>Паспорт гражданина РФ</v>
      </c>
      <c r="H54" t="str">
        <f>[1]TDSheet!H55</f>
        <v>Серия</v>
      </c>
      <c r="I54" t="str">
        <f>[1]TDSheet!I55</f>
        <v>0719</v>
      </c>
      <c r="J54" t="str">
        <f>[1]TDSheet!J55</f>
        <v>Номер</v>
      </c>
      <c r="K54">
        <f>[1]TDSheet!K55</f>
        <v>637619</v>
      </c>
      <c r="L54" t="str">
        <f>[1]TDSheet!L55</f>
        <v>Выдан</v>
      </c>
      <c r="M54" t="str">
        <f>TEXT([1]TDSheet!M55,"ДД.ММ.ГГГГ")</f>
        <v>22.07.2020г.</v>
      </c>
      <c r="N54" t="str">
        <f>[1]TDSheet!N55</f>
        <v xml:space="preserve"> ГУ МВД России по Ставропольскому краю, 22.07.2020г.</v>
      </c>
      <c r="O54" t="str">
        <f>[1]TDSheet!O55</f>
        <v>260-022</v>
      </c>
      <c r="P54" t="str">
        <f>[1]TDSheet!P55</f>
        <v>Серия 0719 Номер 637619,Выдан 22.07.2020г.  ГУ МВД России по Ставропольскому краю, 22.07.2020г.</v>
      </c>
      <c r="Q54" t="str">
        <f>[1]TDSheet!Q55</f>
        <v>Ставропольский край, район Нефтекумский, п. Зункарь, ул. Энтузиастов, д. 20, кв.1</v>
      </c>
      <c r="R54" t="str">
        <f>[1]TDSheet!R55</f>
        <v>Ставропольский край, район Нефтекумский, п. Зункарь, ул. Энтузиастов, д. 20, кв.1</v>
      </c>
      <c r="S54">
        <f>[1]TDSheet!S55</f>
        <v>0</v>
      </c>
      <c r="T54">
        <f>[1]TDSheet!T55</f>
        <v>0</v>
      </c>
      <c r="U54">
        <f>[1]TDSheet!U55</f>
        <v>177</v>
      </c>
      <c r="V54" t="str">
        <f>[1]TDSheet!V55</f>
        <v>48-50</v>
      </c>
      <c r="W54">
        <f>[1]TDSheet!W55</f>
        <v>43</v>
      </c>
      <c r="X54">
        <f>[1]TDSheet!X55</f>
        <v>0</v>
      </c>
      <c r="Y54">
        <f>[1]TDSheet!Y55</f>
        <v>0</v>
      </c>
      <c r="Z54">
        <f>[1]TDSheet!Z55</f>
        <v>44608</v>
      </c>
      <c r="AA54" t="str">
        <f>[1]TDSheet!AA55</f>
        <v>16/02-5_22</v>
      </c>
      <c r="AB54">
        <f>[1]TDSheet!AB55</f>
        <v>0</v>
      </c>
      <c r="AC54">
        <f>[1]TDSheet!AC55</f>
        <v>0</v>
      </c>
      <c r="AD54">
        <f>[1]TDSheet!AD55</f>
        <v>0</v>
      </c>
      <c r="AE54">
        <f>[1]TDSheet!AE55</f>
        <v>0</v>
      </c>
      <c r="AF54">
        <f>[1]TDSheet!AF55</f>
        <v>0</v>
      </c>
      <c r="AG54">
        <f>[1]TDSheet!AG55</f>
        <v>0</v>
      </c>
      <c r="AH54">
        <f>[1]TDSheet!AH55</f>
        <v>0</v>
      </c>
      <c r="AI54">
        <f>[1]TDSheet!AI55</f>
        <v>0</v>
      </c>
      <c r="AJ54">
        <f>[1]TDSheet!AJ55</f>
        <v>0</v>
      </c>
      <c r="AK54">
        <f>[1]TDSheet!AK55</f>
        <v>0</v>
      </c>
      <c r="AL54">
        <f>[1]TDSheet!AL55</f>
        <v>0</v>
      </c>
      <c r="AM54">
        <f>[1]TDSheet!AM55</f>
        <v>0</v>
      </c>
      <c r="AN54">
        <f>[1]TDSheet!AN55</f>
        <v>0</v>
      </c>
      <c r="AO54">
        <f>[1]TDSheet!AO55</f>
        <v>0</v>
      </c>
      <c r="AP54">
        <f>[1]TDSheet!AP55</f>
        <v>0</v>
      </c>
      <c r="AQ54">
        <f>[1]TDSheet!AQ55</f>
        <v>0</v>
      </c>
      <c r="AR54">
        <f>[1]TDSheet!AR55</f>
        <v>0</v>
      </c>
      <c r="AS54">
        <f>[1]TDSheet!AS55</f>
        <v>0</v>
      </c>
      <c r="AT54">
        <f>[1]TDSheet!AT55</f>
        <v>0</v>
      </c>
      <c r="AU54">
        <f>[1]TDSheet!AU55</f>
        <v>0</v>
      </c>
      <c r="AV54">
        <f>[1]TDSheet!AV55</f>
        <v>0</v>
      </c>
      <c r="AW54">
        <f>[1]TDSheet!AW55</f>
        <v>0</v>
      </c>
      <c r="AX54">
        <f>[1]TDSheet!AX55</f>
        <v>0</v>
      </c>
      <c r="AY54">
        <f>[1]TDSheet!AY55</f>
        <v>0</v>
      </c>
      <c r="AZ54">
        <f>[1]TDSheet!AZ55</f>
        <v>0</v>
      </c>
      <c r="BA54" t="str">
        <f>[1]TDSheet!BA55</f>
        <v xml:space="preserve">8-918-762-56-77
</v>
      </c>
      <c r="BB54" t="str">
        <f>[1]TDSheet!BB55</f>
        <v>ibiev0505@icloud.com</v>
      </c>
      <c r="BC54" t="str">
        <f>[1]TDSheet!BC55</f>
        <v> 40817810460106118677</v>
      </c>
      <c r="BD54" t="str">
        <f>[1]TDSheet!BD55</f>
        <v>СТАВРОПОЛЬСКОЕ ОТДЕЛЕНИЕ N5230 ПАО СБЕРБАНК</v>
      </c>
      <c r="BE54">
        <f>[1]TDSheet!BE55</f>
        <v>40702615</v>
      </c>
    </row>
    <row r="55" spans="1:57" x14ac:dyDescent="0.25">
      <c r="A55" t="str">
        <f>[1]TDSheet!A56</f>
        <v>Омаров Ахмед Абдулкадирович</v>
      </c>
      <c r="B55" t="str">
        <f>[1]TDSheet!B56</f>
        <v>Подсобный рабочий</v>
      </c>
      <c r="C55" t="str">
        <f>TEXT([1]TDSheet!C56,"ДД.ММ.ГГГГ")</f>
        <v>01.07.1974</v>
      </c>
      <c r="D55" t="str">
        <f>[1]TDSheet!D56</f>
        <v>РОССИЯ</v>
      </c>
      <c r="E55" t="str">
        <f>[1]TDSheet!E56</f>
        <v>050202928650</v>
      </c>
      <c r="F55" t="str">
        <f>[1]TDSheet!F56</f>
        <v>142-794-851 92</v>
      </c>
      <c r="G55" t="str">
        <f>[1]TDSheet!G56</f>
        <v>Паспорт гражданина РФ</v>
      </c>
      <c r="H55" t="str">
        <f>[1]TDSheet!H56</f>
        <v>Серия</v>
      </c>
      <c r="I55" t="str">
        <f>[1]TDSheet!I56</f>
        <v>45 19</v>
      </c>
      <c r="J55" t="str">
        <f>[1]TDSheet!J56</f>
        <v>Номер</v>
      </c>
      <c r="K55">
        <f>[1]TDSheet!K56</f>
        <v>259614</v>
      </c>
      <c r="L55" t="str">
        <f>[1]TDSheet!L56</f>
        <v>Выдан</v>
      </c>
      <c r="M55" t="str">
        <f>TEXT([1]TDSheet!M56,"ДД.ММ.ГГГГ")</f>
        <v>03.07.2019</v>
      </c>
      <c r="N55" t="str">
        <f>[1]TDSheet!N56</f>
        <v>ГУ МВД по г.Москве</v>
      </c>
      <c r="O55" t="str">
        <f>[1]TDSheet!O56</f>
        <v>770-003</v>
      </c>
      <c r="P55" t="str">
        <f>[1]TDSheet!P56</f>
        <v>Серия 45 19 Номер 259614,Выдан 03.07.2019 ГУ МВД по г.Москве</v>
      </c>
      <c r="Q55" t="str">
        <f>[1]TDSheet!Q56</f>
        <v xml:space="preserve">Дагестан, Акушинский р-н, с. Акуша </v>
      </c>
      <c r="R55" t="str">
        <f>[1]TDSheet!R56</f>
        <v xml:space="preserve">Дагестан, Акушинский р-н, с. Акуша </v>
      </c>
      <c r="S55">
        <f>[1]TDSheet!S56</f>
        <v>0</v>
      </c>
      <c r="T55">
        <f>[1]TDSheet!T56</f>
        <v>0</v>
      </c>
      <c r="U55">
        <f>[1]TDSheet!U56</f>
        <v>185</v>
      </c>
      <c r="V55" t="str">
        <f>[1]TDSheet!V56</f>
        <v>54-56</v>
      </c>
      <c r="W55" t="str">
        <f>[1]TDSheet!W56</f>
        <v>45-46</v>
      </c>
      <c r="X55">
        <f>[1]TDSheet!X56</f>
        <v>0</v>
      </c>
      <c r="Y55">
        <f>[1]TDSheet!Y56</f>
        <v>0</v>
      </c>
      <c r="Z55">
        <f>[1]TDSheet!Z56</f>
        <v>44616</v>
      </c>
      <c r="AA55" t="str">
        <f>[1]TDSheet!AA56</f>
        <v>24/02-6_2022</v>
      </c>
      <c r="AB55">
        <f>[1]TDSheet!AB56</f>
        <v>0</v>
      </c>
      <c r="AC55">
        <f>[1]TDSheet!AC56</f>
        <v>0</v>
      </c>
      <c r="AD55">
        <f>[1]TDSheet!AD56</f>
        <v>0</v>
      </c>
      <c r="AE55">
        <f>[1]TDSheet!AE56</f>
        <v>0</v>
      </c>
      <c r="AF55">
        <f>[1]TDSheet!AF56</f>
        <v>0</v>
      </c>
      <c r="AG55">
        <f>[1]TDSheet!AG56</f>
        <v>0</v>
      </c>
      <c r="AH55">
        <f>[1]TDSheet!AH56</f>
        <v>0</v>
      </c>
      <c r="AI55">
        <f>[1]TDSheet!AI56</f>
        <v>0</v>
      </c>
      <c r="AJ55">
        <f>[1]TDSheet!AJ56</f>
        <v>0</v>
      </c>
      <c r="AK55">
        <f>[1]TDSheet!AK56</f>
        <v>0</v>
      </c>
      <c r="AL55">
        <f>[1]TDSheet!AL56</f>
        <v>0</v>
      </c>
      <c r="AM55">
        <f>[1]TDSheet!AM56</f>
        <v>0</v>
      </c>
      <c r="AN55">
        <f>[1]TDSheet!AN56</f>
        <v>0</v>
      </c>
      <c r="AO55">
        <f>[1]TDSheet!AO56</f>
        <v>0</v>
      </c>
      <c r="AP55">
        <f>[1]TDSheet!AP56</f>
        <v>0</v>
      </c>
      <c r="AQ55">
        <f>[1]TDSheet!AQ56</f>
        <v>0</v>
      </c>
      <c r="AR55">
        <f>[1]TDSheet!AR56</f>
        <v>0</v>
      </c>
      <c r="AS55">
        <f>[1]TDSheet!AS56</f>
        <v>0</v>
      </c>
      <c r="AT55">
        <f>[1]TDSheet!AT56</f>
        <v>0</v>
      </c>
      <c r="AU55">
        <f>[1]TDSheet!AU56</f>
        <v>0</v>
      </c>
      <c r="AV55">
        <f>[1]TDSheet!AV56</f>
        <v>0</v>
      </c>
      <c r="AW55">
        <f>[1]TDSheet!AW56</f>
        <v>0</v>
      </c>
      <c r="AX55">
        <f>[1]TDSheet!AX56</f>
        <v>0</v>
      </c>
      <c r="AY55">
        <f>[1]TDSheet!AY56</f>
        <v>0</v>
      </c>
      <c r="AZ55">
        <f>[1]TDSheet!AZ56</f>
        <v>0</v>
      </c>
      <c r="BA55">
        <f>[1]TDSheet!BA56</f>
        <v>89055051800</v>
      </c>
      <c r="BB55">
        <f>[1]TDSheet!BB56</f>
        <v>0</v>
      </c>
      <c r="BC55" t="str">
        <f>[1]TDSheet!BC56</f>
        <v>40817810840016273229</v>
      </c>
      <c r="BD55" t="str">
        <f>[1]TDSheet!BD56</f>
        <v>ПАО СБЕРБАНК</v>
      </c>
      <c r="BE55" t="str">
        <f>[1]TDSheet!BE56</f>
        <v>044525225</v>
      </c>
    </row>
    <row r="56" spans="1:57" x14ac:dyDescent="0.25">
      <c r="A56" t="str">
        <f>[1]TDSheet!A57</f>
        <v>Раджабов Арслан Шапиевич</v>
      </c>
      <c r="B56" t="str">
        <f>[1]TDSheet!B57</f>
        <v>Гидроизолировщик</v>
      </c>
      <c r="C56" t="str">
        <f>TEXT([1]TDSheet!C57,"ДД.ММ.ГГГГ")</f>
        <v>11.07.1998</v>
      </c>
      <c r="D56" t="str">
        <f>[1]TDSheet!D57</f>
        <v>РОССИЯ</v>
      </c>
      <c r="E56" t="str">
        <f>[1]TDSheet!E57</f>
        <v>052702877486</v>
      </c>
      <c r="F56" t="str">
        <f>[1]TDSheet!F57</f>
        <v>168-763-895 42</v>
      </c>
      <c r="G56" t="str">
        <f>[1]TDSheet!G57</f>
        <v>Паспорт гражданина РФ</v>
      </c>
      <c r="H56" t="str">
        <f>[1]TDSheet!H57</f>
        <v>Серия</v>
      </c>
      <c r="I56" t="str">
        <f>[1]TDSheet!I57</f>
        <v>8218</v>
      </c>
      <c r="J56" t="str">
        <f>[1]TDSheet!J57</f>
        <v>Номер</v>
      </c>
      <c r="K56">
        <f>[1]TDSheet!K57</f>
        <v>80778</v>
      </c>
      <c r="L56" t="str">
        <f>[1]TDSheet!L57</f>
        <v>Выдан</v>
      </c>
      <c r="M56" t="str">
        <f>TEXT([1]TDSheet!M57,"ДД.ММ.ГГГГ")</f>
        <v>19.07.2018</v>
      </c>
      <c r="N56" t="str">
        <f>[1]TDSheet!N57</f>
        <v xml:space="preserve">МВД по республике Дагестан, 19.07.2018г. </v>
      </c>
      <c r="O56" t="str">
        <f>[1]TDSheet!O57</f>
        <v>050-034</v>
      </c>
      <c r="P56" t="str">
        <f>[1]TDSheet!P57</f>
        <v xml:space="preserve">Серия 8218 Номер 80778,Выдан 19.07.2018 МВД по республике Дагестан, 19.07.2018г. </v>
      </c>
      <c r="Q56" t="str">
        <f>[1]TDSheet!Q57</f>
        <v>Республика Дагестан Район Сергокалинский, с.Сергокала, ул.Андропова, д.2</v>
      </c>
      <c r="R56" t="str">
        <f>[1]TDSheet!R57</f>
        <v>Республика Дагестан Район Сергокалинский, с.Сергокала, ул.Андропова, д.2</v>
      </c>
      <c r="S56">
        <f>[1]TDSheet!S57</f>
        <v>0</v>
      </c>
      <c r="T56">
        <f>[1]TDSheet!T57</f>
        <v>0</v>
      </c>
      <c r="U56">
        <f>[1]TDSheet!U57</f>
        <v>174</v>
      </c>
      <c r="V56" t="str">
        <f>[1]TDSheet!V57</f>
        <v>48-50</v>
      </c>
      <c r="W56">
        <f>[1]TDSheet!W57</f>
        <v>44</v>
      </c>
      <c r="X56">
        <f>[1]TDSheet!X57</f>
        <v>0</v>
      </c>
      <c r="Y56">
        <f>[1]TDSheet!Y57</f>
        <v>0</v>
      </c>
      <c r="Z56">
        <f>[1]TDSheet!Z57</f>
        <v>44617</v>
      </c>
      <c r="AA56" t="str">
        <f>[1]TDSheet!AA57</f>
        <v>25/02-9_2022</v>
      </c>
      <c r="AB56">
        <f>[1]TDSheet!AB57</f>
        <v>0</v>
      </c>
      <c r="AC56">
        <f>[1]TDSheet!AC57</f>
        <v>0</v>
      </c>
      <c r="AD56">
        <f>[1]TDSheet!AD57</f>
        <v>0</v>
      </c>
      <c r="AE56">
        <f>[1]TDSheet!AE57</f>
        <v>0</v>
      </c>
      <c r="AF56">
        <f>[1]TDSheet!AF57</f>
        <v>0</v>
      </c>
      <c r="AG56">
        <f>[1]TDSheet!AG57</f>
        <v>0</v>
      </c>
      <c r="AH56">
        <f>[1]TDSheet!AH57</f>
        <v>0</v>
      </c>
      <c r="AI56">
        <f>[1]TDSheet!AI57</f>
        <v>0</v>
      </c>
      <c r="AJ56">
        <f>[1]TDSheet!AJ57</f>
        <v>0</v>
      </c>
      <c r="AK56">
        <f>[1]TDSheet!AK57</f>
        <v>0</v>
      </c>
      <c r="AL56">
        <f>[1]TDSheet!AL57</f>
        <v>0</v>
      </c>
      <c r="AM56">
        <f>[1]TDSheet!AM57</f>
        <v>0</v>
      </c>
      <c r="AN56">
        <f>[1]TDSheet!AN57</f>
        <v>0</v>
      </c>
      <c r="AO56">
        <f>[1]TDSheet!AO57</f>
        <v>0</v>
      </c>
      <c r="AP56">
        <f>[1]TDSheet!AP57</f>
        <v>0</v>
      </c>
      <c r="AQ56">
        <f>[1]TDSheet!AQ57</f>
        <v>0</v>
      </c>
      <c r="AR56">
        <f>[1]TDSheet!AR57</f>
        <v>0</v>
      </c>
      <c r="AS56">
        <f>[1]TDSheet!AS57</f>
        <v>0</v>
      </c>
      <c r="AT56">
        <f>[1]TDSheet!AT57</f>
        <v>0</v>
      </c>
      <c r="AU56">
        <f>[1]TDSheet!AU57</f>
        <v>0</v>
      </c>
      <c r="AV56">
        <f>[1]TDSheet!AV57</f>
        <v>0</v>
      </c>
      <c r="AW56">
        <f>[1]TDSheet!AW57</f>
        <v>0</v>
      </c>
      <c r="AX56">
        <f>[1]TDSheet!AX57</f>
        <v>0</v>
      </c>
      <c r="AY56">
        <f>[1]TDSheet!AY57</f>
        <v>0</v>
      </c>
      <c r="AZ56">
        <f>[1]TDSheet!AZ57</f>
        <v>0</v>
      </c>
      <c r="BA56">
        <f>[1]TDSheet!BA57</f>
        <v>89640213225</v>
      </c>
      <c r="BB56">
        <f>[1]TDSheet!BB57</f>
        <v>0</v>
      </c>
      <c r="BC56" t="str">
        <f>[1]TDSheet!BC57</f>
        <v>40817810960321880581</v>
      </c>
      <c r="BD56" t="str">
        <f>[1]TDSheet!BD57</f>
        <v>СТАВРОПОЛЬСКОЕ ОТДЕЛЕНИЕ N5230 ПАО СБЕРБАНК</v>
      </c>
      <c r="BE56">
        <f>[1]TDSheet!BE57</f>
        <v>40702615</v>
      </c>
    </row>
    <row r="57" spans="1:57" x14ac:dyDescent="0.25">
      <c r="A57" t="str">
        <f>[1]TDSheet!A58</f>
        <v>Якшибаев Даулет Булатович</v>
      </c>
      <c r="B57" t="str">
        <f>[1]TDSheet!B58</f>
        <v>Подсобный рабочий</v>
      </c>
      <c r="C57" t="str">
        <f>TEXT([1]TDSheet!C58,"ДД.ММ.ГГГГ")</f>
        <v>08.04.1980</v>
      </c>
      <c r="D57" t="str">
        <f>[1]TDSheet!D58</f>
        <v>РОССИЯ</v>
      </c>
      <c r="E57" t="str">
        <f>[1]TDSheet!E58</f>
        <v>672708473993</v>
      </c>
      <c r="F57" t="str">
        <f>[1]TDSheet!F58</f>
        <v>197-207-811 94</v>
      </c>
      <c r="G57" t="str">
        <f>[1]TDSheet!G58</f>
        <v>Паспорт гражданина РФ</v>
      </c>
      <c r="H57" t="str">
        <f>[1]TDSheet!H58</f>
        <v>Серия</v>
      </c>
      <c r="I57" t="str">
        <f>[1]TDSheet!I58</f>
        <v>4213</v>
      </c>
      <c r="J57" t="str">
        <f>[1]TDSheet!J58</f>
        <v>Номер</v>
      </c>
      <c r="K57">
        <f>[1]TDSheet!K58</f>
        <v>842065</v>
      </c>
      <c r="L57" t="str">
        <f>[1]TDSheet!L58</f>
        <v>Выдан</v>
      </c>
      <c r="M57" t="str">
        <f>TEXT([1]TDSheet!M58,"ДД.ММ.ГГГГ")</f>
        <v>22.11.2013</v>
      </c>
      <c r="N57" t="str">
        <f>[1]TDSheet!N58</f>
        <v>Отделением УФМС России по Липецкой области в Левобережном округе гор. Липецка</v>
      </c>
      <c r="O57" t="str">
        <f>[1]TDSheet!O58</f>
        <v>480-005</v>
      </c>
      <c r="P57" t="str">
        <f>[1]TDSheet!P58</f>
        <v>Серия 4213 Номер 842065,Выдан 22.11.2013 Отделением УФМС России по Липецкой области в Левобережном округе гор. Липецка</v>
      </c>
      <c r="Q57" t="str">
        <f>[1]TDSheet!Q58</f>
        <v>г. Ярцево ул. Нахимова д.22</v>
      </c>
      <c r="R57" t="str">
        <f>[1]TDSheet!R58</f>
        <v>г. Ярцево ул. Нахимова д.22</v>
      </c>
      <c r="S57">
        <f>[1]TDSheet!S58</f>
        <v>0</v>
      </c>
      <c r="T57">
        <f>[1]TDSheet!T58</f>
        <v>0</v>
      </c>
      <c r="U57">
        <f>[1]TDSheet!U58</f>
        <v>171</v>
      </c>
      <c r="V57">
        <f>[1]TDSheet!V58</f>
        <v>52</v>
      </c>
      <c r="W57">
        <f>[1]TDSheet!W58</f>
        <v>42</v>
      </c>
      <c r="X57">
        <f>[1]TDSheet!X58</f>
        <v>0</v>
      </c>
      <c r="Y57">
        <f>[1]TDSheet!Y58</f>
        <v>0</v>
      </c>
      <c r="Z57">
        <f>[1]TDSheet!Z58</f>
        <v>44620</v>
      </c>
      <c r="AA57" t="str">
        <f>[1]TDSheet!AA58</f>
        <v>28/02-11_2022</v>
      </c>
      <c r="AB57">
        <f>[1]TDSheet!AB58</f>
        <v>0</v>
      </c>
      <c r="AC57">
        <f>[1]TDSheet!AC58</f>
        <v>0</v>
      </c>
      <c r="AD57">
        <f>[1]TDSheet!AD58</f>
        <v>0</v>
      </c>
      <c r="AE57">
        <f>[1]TDSheet!AE58</f>
        <v>0</v>
      </c>
      <c r="AF57">
        <f>[1]TDSheet!AF58</f>
        <v>0</v>
      </c>
      <c r="AG57">
        <f>[1]TDSheet!AG58</f>
        <v>0</v>
      </c>
      <c r="AH57">
        <f>[1]TDSheet!AH58</f>
        <v>0</v>
      </c>
      <c r="AI57">
        <f>[1]TDSheet!AI58</f>
        <v>0</v>
      </c>
      <c r="AJ57">
        <f>[1]TDSheet!AJ58</f>
        <v>0</v>
      </c>
      <c r="AK57">
        <f>[1]TDSheet!AK58</f>
        <v>0</v>
      </c>
      <c r="AL57">
        <f>[1]TDSheet!AL58</f>
        <v>0</v>
      </c>
      <c r="AM57">
        <f>[1]TDSheet!AM58</f>
        <v>0</v>
      </c>
      <c r="AN57">
        <f>[1]TDSheet!AN58</f>
        <v>0</v>
      </c>
      <c r="AO57">
        <f>[1]TDSheet!AO58</f>
        <v>0</v>
      </c>
      <c r="AP57">
        <f>[1]TDSheet!AP58</f>
        <v>0</v>
      </c>
      <c r="AQ57">
        <f>[1]TDSheet!AQ58</f>
        <v>0</v>
      </c>
      <c r="AR57">
        <f>[1]TDSheet!AR58</f>
        <v>0</v>
      </c>
      <c r="AS57">
        <f>[1]TDSheet!AS58</f>
        <v>0</v>
      </c>
      <c r="AT57">
        <f>[1]TDSheet!AT58</f>
        <v>0</v>
      </c>
      <c r="AU57">
        <f>[1]TDSheet!AU58</f>
        <v>0</v>
      </c>
      <c r="AV57">
        <f>[1]TDSheet!AV58</f>
        <v>0</v>
      </c>
      <c r="AW57">
        <f>[1]TDSheet!AW58</f>
        <v>0</v>
      </c>
      <c r="AX57">
        <f>[1]TDSheet!AX58</f>
        <v>0</v>
      </c>
      <c r="AY57">
        <f>[1]TDSheet!AY58</f>
        <v>0</v>
      </c>
      <c r="AZ57">
        <f>[1]TDSheet!AZ58</f>
        <v>0</v>
      </c>
      <c r="BA57">
        <f>[1]TDSheet!BA58</f>
        <v>89156478098</v>
      </c>
      <c r="BB57">
        <f>[1]TDSheet!BB58</f>
        <v>0</v>
      </c>
      <c r="BC57" t="str">
        <f>[1]TDSheet!BC58</f>
        <v xml:space="preserve">40817810159000655337 </v>
      </c>
      <c r="BD57" t="str">
        <f>[1]TDSheet!BD58</f>
        <v xml:space="preserve"> СМОЛЕНСКОЕ ОТДЕЛЕНИЕ N8609 ПАО СБЕРБАНК</v>
      </c>
      <c r="BE57">
        <f>[1]TDSheet!BE58</f>
        <v>46614632</v>
      </c>
    </row>
    <row r="58" spans="1:57" x14ac:dyDescent="0.25">
      <c r="A58" t="str">
        <f>[1]TDSheet!A59</f>
        <v>Бобриков Евгений Валерьевич</v>
      </c>
      <c r="B58" t="str">
        <f>[1]TDSheet!B59</f>
        <v>Подсобный рабочий</v>
      </c>
      <c r="C58" t="str">
        <f>TEXT([1]TDSheet!C59,"ДД.ММ.ГГГГ")</f>
        <v>25.02.1988</v>
      </c>
      <c r="D58" t="str">
        <f>[1]TDSheet!D59</f>
        <v>УКРАИНА</v>
      </c>
      <c r="E58">
        <f>[1]TDSheet!E59</f>
        <v>0</v>
      </c>
      <c r="F58">
        <f>[1]TDSheet!F59</f>
        <v>0</v>
      </c>
      <c r="G58" t="str">
        <f>[1]TDSheet!G59</f>
        <v>Иностранный паспорт</v>
      </c>
      <c r="H58" t="str">
        <f>[1]TDSheet!H59</f>
        <v>Серия</v>
      </c>
      <c r="I58" t="str">
        <f>[1]TDSheet!I59</f>
        <v>9321</v>
      </c>
      <c r="J58" t="str">
        <f>[1]TDSheet!J59</f>
        <v>Номер</v>
      </c>
      <c r="K58">
        <f>[1]TDSheet!K59</f>
        <v>864230</v>
      </c>
      <c r="L58" t="str">
        <f>[1]TDSheet!L59</f>
        <v>Выдан</v>
      </c>
      <c r="M58" t="str">
        <f>TEXT([1]TDSheet!M59,"ДД.ММ.ГГГГ")</f>
        <v>27.11.2021</v>
      </c>
      <c r="N58" t="str">
        <f>[1]TDSheet!N59</f>
        <v>Миграционной службой Министерства Внутренних дел</v>
      </c>
      <c r="O58" t="str">
        <f>[1]TDSheet!O59</f>
        <v>019</v>
      </c>
      <c r="P58" t="str">
        <f>[1]TDSheet!P59</f>
        <v>Серия 9321 Номер 864230,Выдан 27.11.2021 Миграционной службой Министерства Внутренних дел</v>
      </c>
      <c r="Q58" t="str">
        <f>[1]TDSheet!Q59</f>
        <v>г.Донецк,ул. Багратиона д.7 кв.6</v>
      </c>
      <c r="R58" t="str">
        <f>[1]TDSheet!R59</f>
        <v>г.Донецк,ул. Багратиона д.7 кв.6</v>
      </c>
      <c r="S58">
        <f>[1]TDSheet!S59</f>
        <v>0</v>
      </c>
      <c r="T58">
        <f>[1]TDSheet!T59</f>
        <v>0</v>
      </c>
      <c r="U58">
        <f>[1]TDSheet!U59</f>
        <v>180</v>
      </c>
      <c r="V58" t="str">
        <f>[1]TDSheet!V59</f>
        <v>52/54</v>
      </c>
      <c r="W58">
        <f>[1]TDSheet!W59</f>
        <v>44</v>
      </c>
      <c r="X58">
        <f>[1]TDSheet!X59</f>
        <v>0</v>
      </c>
      <c r="Y58">
        <f>[1]TDSheet!Y59</f>
        <v>0</v>
      </c>
      <c r="Z58">
        <f>[1]TDSheet!Z59</f>
        <v>44629</v>
      </c>
      <c r="AA58" t="str">
        <f>[1]TDSheet!AA59</f>
        <v>09/03-24_2022</v>
      </c>
      <c r="AB58">
        <f>[1]TDSheet!AB59</f>
        <v>0</v>
      </c>
      <c r="AC58">
        <f>[1]TDSheet!AC59</f>
        <v>0</v>
      </c>
      <c r="AD58">
        <f>[1]TDSheet!AD59</f>
        <v>0</v>
      </c>
      <c r="AE58">
        <f>[1]TDSheet!AE59</f>
        <v>0</v>
      </c>
      <c r="AF58">
        <f>[1]TDSheet!AF59</f>
        <v>0</v>
      </c>
      <c r="AG58">
        <f>[1]TDSheet!AG59</f>
        <v>0</v>
      </c>
      <c r="AH58">
        <f>[1]TDSheet!AH59</f>
        <v>0</v>
      </c>
      <c r="AI58">
        <f>[1]TDSheet!AI59</f>
        <v>0</v>
      </c>
      <c r="AJ58">
        <f>[1]TDSheet!AJ59</f>
        <v>0</v>
      </c>
      <c r="AK58">
        <f>[1]TDSheet!AK59</f>
        <v>0</v>
      </c>
      <c r="AL58">
        <f>[1]TDSheet!AL59</f>
        <v>0</v>
      </c>
      <c r="AM58">
        <f>[1]TDSheet!AM59</f>
        <v>0</v>
      </c>
      <c r="AN58">
        <f>[1]TDSheet!AN59</f>
        <v>0</v>
      </c>
      <c r="AO58">
        <f>[1]TDSheet!AO59</f>
        <v>0</v>
      </c>
      <c r="AP58">
        <f>[1]TDSheet!AP59</f>
        <v>0</v>
      </c>
      <c r="AQ58">
        <f>[1]TDSheet!AQ59</f>
        <v>0</v>
      </c>
      <c r="AR58">
        <f>[1]TDSheet!AR59</f>
        <v>0</v>
      </c>
      <c r="AS58">
        <f>[1]TDSheet!AS59</f>
        <v>0</v>
      </c>
      <c r="AT58">
        <f>[1]TDSheet!AT59</f>
        <v>0</v>
      </c>
      <c r="AU58">
        <f>[1]TDSheet!AU59</f>
        <v>0</v>
      </c>
      <c r="AV58">
        <f>[1]TDSheet!AV59</f>
        <v>0</v>
      </c>
      <c r="AW58">
        <f>[1]TDSheet!AW59</f>
        <v>0</v>
      </c>
      <c r="AX58">
        <f>[1]TDSheet!AX59</f>
        <v>0</v>
      </c>
      <c r="AY58">
        <f>[1]TDSheet!AY59</f>
        <v>0</v>
      </c>
      <c r="AZ58">
        <f>[1]TDSheet!AZ59</f>
        <v>0</v>
      </c>
      <c r="BA58">
        <f>[1]TDSheet!BA59</f>
        <v>89997459881</v>
      </c>
      <c r="BB58">
        <f>[1]TDSheet!BB59</f>
        <v>0</v>
      </c>
      <c r="BC58">
        <f>[1]TDSheet!BC59</f>
        <v>0</v>
      </c>
      <c r="BD58">
        <f>[1]TDSheet!BD59</f>
        <v>0</v>
      </c>
      <c r="BE58">
        <f>[1]TDSheet!BE59</f>
        <v>0</v>
      </c>
    </row>
    <row r="59" spans="1:57" x14ac:dyDescent="0.25">
      <c r="A59" t="str">
        <f>[1]TDSheet!A60</f>
        <v>Останин Сергей Геннадиевич</v>
      </c>
      <c r="B59" t="str">
        <f>[1]TDSheet!B60</f>
        <v>Подсобный рабочий</v>
      </c>
      <c r="C59" t="str">
        <f>TEXT([1]TDSheet!C60,"ДД.ММ.ГГГГ")</f>
        <v>15.01.1968</v>
      </c>
      <c r="D59" t="str">
        <f>[1]TDSheet!D60</f>
        <v>РОССИЯ</v>
      </c>
      <c r="E59" t="str">
        <f>[1]TDSheet!E60</f>
        <v>910616202654</v>
      </c>
      <c r="F59" t="str">
        <f>[1]TDSheet!F60</f>
        <v>210-493-324 23</v>
      </c>
      <c r="G59" t="str">
        <f>[1]TDSheet!G60</f>
        <v>Паспорт гражданина РФ</v>
      </c>
      <c r="H59" t="str">
        <f>[1]TDSheet!H60</f>
        <v>Серия</v>
      </c>
      <c r="I59">
        <f>[1]TDSheet!I60</f>
        <v>6021</v>
      </c>
      <c r="J59" t="str">
        <f>[1]TDSheet!J60</f>
        <v>Номер</v>
      </c>
      <c r="K59">
        <f>[1]TDSheet!K60</f>
        <v>284804</v>
      </c>
      <c r="L59" t="str">
        <f>[1]TDSheet!L60</f>
        <v>Выдан</v>
      </c>
      <c r="M59" t="str">
        <f>TEXT([1]TDSheet!M60,"ДД.ММ.ГГГГ")</f>
        <v>02.03.2021</v>
      </c>
      <c r="N59" t="str">
        <f>[1]TDSheet!N60</f>
        <v>ГУ МФД России по Ростовской области</v>
      </c>
      <c r="O59">
        <f>[1]TDSheet!O60</f>
        <v>0</v>
      </c>
      <c r="P59" t="str">
        <f>[1]TDSheet!P60</f>
        <v>Серия 6021 Номер 284804,Выдан 02.03.2021 ГУ МФД России по Ростовской области</v>
      </c>
      <c r="Q59" t="str">
        <f>[1]TDSheet!Q60</f>
        <v>УКРАИНА, Донецк, ул. Полоцкая, д.2, кв.53</v>
      </c>
      <c r="R59" t="str">
        <f>[1]TDSheet!R60</f>
        <v>УКРАИНА, Донецк, ул. Полоцкая, д.2, кв.53</v>
      </c>
      <c r="S59">
        <f>[1]TDSheet!S60</f>
        <v>0</v>
      </c>
      <c r="T59">
        <f>[1]TDSheet!T60</f>
        <v>0</v>
      </c>
      <c r="U59">
        <f>[1]TDSheet!U60</f>
        <v>176</v>
      </c>
      <c r="V59" t="str">
        <f>[1]TDSheet!V60</f>
        <v>50/52</v>
      </c>
      <c r="W59">
        <f>[1]TDSheet!W60</f>
        <v>42</v>
      </c>
      <c r="X59">
        <f>[1]TDSheet!X60</f>
        <v>0</v>
      </c>
      <c r="Y59">
        <f>[1]TDSheet!Y60</f>
        <v>0</v>
      </c>
      <c r="Z59">
        <f>[1]TDSheet!Z60</f>
        <v>44629</v>
      </c>
      <c r="AA59" t="str">
        <f>[1]TDSheet!AA60</f>
        <v>09/03-23_2022</v>
      </c>
      <c r="AB59">
        <f>[1]TDSheet!AB60</f>
        <v>0</v>
      </c>
      <c r="AC59">
        <f>[1]TDSheet!AC60</f>
        <v>0</v>
      </c>
      <c r="AD59">
        <f>[1]TDSheet!AD60</f>
        <v>0</v>
      </c>
      <c r="AE59">
        <f>[1]TDSheet!AE60</f>
        <v>0</v>
      </c>
      <c r="AF59">
        <f>[1]TDSheet!AF60</f>
        <v>0</v>
      </c>
      <c r="AG59">
        <f>[1]TDSheet!AG60</f>
        <v>0</v>
      </c>
      <c r="AH59">
        <f>[1]TDSheet!AH60</f>
        <v>0</v>
      </c>
      <c r="AI59">
        <f>[1]TDSheet!AI60</f>
        <v>0</v>
      </c>
      <c r="AJ59">
        <f>[1]TDSheet!AJ60</f>
        <v>0</v>
      </c>
      <c r="AK59">
        <f>[1]TDSheet!AK60</f>
        <v>0</v>
      </c>
      <c r="AL59">
        <f>[1]TDSheet!AL60</f>
        <v>0</v>
      </c>
      <c r="AM59">
        <f>[1]TDSheet!AM60</f>
        <v>0</v>
      </c>
      <c r="AN59">
        <f>[1]TDSheet!AN60</f>
        <v>0</v>
      </c>
      <c r="AO59">
        <f>[1]TDSheet!AO60</f>
        <v>0</v>
      </c>
      <c r="AP59">
        <f>[1]TDSheet!AP60</f>
        <v>0</v>
      </c>
      <c r="AQ59">
        <f>[1]TDSheet!AQ60</f>
        <v>0</v>
      </c>
      <c r="AR59">
        <f>[1]TDSheet!AR60</f>
        <v>0</v>
      </c>
      <c r="AS59">
        <f>[1]TDSheet!AS60</f>
        <v>0</v>
      </c>
      <c r="AT59">
        <f>[1]TDSheet!AT60</f>
        <v>0</v>
      </c>
      <c r="AU59">
        <f>[1]TDSheet!AU60</f>
        <v>0</v>
      </c>
      <c r="AV59">
        <f>[1]TDSheet!AV60</f>
        <v>0</v>
      </c>
      <c r="AW59">
        <f>[1]TDSheet!AW60</f>
        <v>0</v>
      </c>
      <c r="AX59">
        <f>[1]TDSheet!AX60</f>
        <v>0</v>
      </c>
      <c r="AY59">
        <f>[1]TDSheet!AY60</f>
        <v>0</v>
      </c>
      <c r="AZ59">
        <f>[1]TDSheet!AZ60</f>
        <v>0</v>
      </c>
      <c r="BA59">
        <f>[1]TDSheet!BA60</f>
        <v>89777838065</v>
      </c>
      <c r="BB59">
        <f>[1]TDSheet!BB60</f>
        <v>0</v>
      </c>
      <c r="BC59" t="str">
        <f>[1]TDSheet!BC60</f>
        <v>40817810040101405142</v>
      </c>
      <c r="BD59" t="str">
        <f>[1]TDSheet!BD60</f>
        <v>ПАО СБЕРБАНК</v>
      </c>
      <c r="BE59" t="str">
        <f>[1]TDSheet!BE60</f>
        <v>044525225</v>
      </c>
    </row>
    <row r="60" spans="1:57" x14ac:dyDescent="0.25">
      <c r="A60" t="str">
        <f>[1]TDSheet!A61</f>
        <v>Кореньчук Павел Владимирович</v>
      </c>
      <c r="B60" t="str">
        <f>[1]TDSheet!B61</f>
        <v>Стяжечник</v>
      </c>
      <c r="C60" t="str">
        <f>TEXT([1]TDSheet!C61,"ДД.ММ.ГГГГ")</f>
        <v>16.10.1984</v>
      </c>
      <c r="D60" t="str">
        <f>[1]TDSheet!D61</f>
        <v>РОССИЯ</v>
      </c>
      <c r="E60">
        <f>[1]TDSheet!E61</f>
        <v>0</v>
      </c>
      <c r="F60">
        <f>[1]TDSheet!F61</f>
        <v>0</v>
      </c>
      <c r="G60" t="str">
        <f>[1]TDSheet!G61</f>
        <v>Паспорт гражданина РФ</v>
      </c>
      <c r="H60" t="str">
        <f>[1]TDSheet!H61</f>
        <v>Серия</v>
      </c>
      <c r="I60">
        <f>[1]TDSheet!I61</f>
        <v>1704</v>
      </c>
      <c r="J60" t="str">
        <f>[1]TDSheet!J61</f>
        <v>Номер</v>
      </c>
      <c r="K60">
        <f>[1]TDSheet!K61</f>
        <v>572525</v>
      </c>
      <c r="L60" t="str">
        <f>[1]TDSheet!L61</f>
        <v>Выдан</v>
      </c>
      <c r="M60" t="str">
        <f>TEXT([1]TDSheet!M61,"ДД.ММ.ГГГГ")</f>
        <v>31.01.2005</v>
      </c>
      <c r="N60" t="str">
        <f>[1]TDSheet!N61</f>
        <v>Отделом внетренних дел округа вязники Владимирской области</v>
      </c>
      <c r="O60" t="str">
        <f>[1]TDSheet!O61</f>
        <v>332-005</v>
      </c>
      <c r="P60" t="str">
        <f>[1]TDSheet!P61</f>
        <v>Серия 1704 Номер 572525,Выдан 31.01.2005 Отделом внетренних дел округа вязники Владимирской области</v>
      </c>
      <c r="Q60" t="str">
        <f>[1]TDSheet!Q61</f>
        <v>пос. Октябрьский ул. Советская д.7 кв.7</v>
      </c>
      <c r="R60" t="str">
        <f>[1]TDSheet!R61</f>
        <v>пос. Октябрьский ул. Советская д.7 кв.7</v>
      </c>
      <c r="S60">
        <f>[1]TDSheet!S61</f>
        <v>0</v>
      </c>
      <c r="T60">
        <f>[1]TDSheet!T61</f>
        <v>0</v>
      </c>
      <c r="U60">
        <f>[1]TDSheet!U61</f>
        <v>0</v>
      </c>
      <c r="V60">
        <f>[1]TDSheet!V61</f>
        <v>0</v>
      </c>
      <c r="W60">
        <f>[1]TDSheet!W61</f>
        <v>0</v>
      </c>
      <c r="X60">
        <f>[1]TDSheet!X61</f>
        <v>0</v>
      </c>
      <c r="Y60">
        <f>[1]TDSheet!Y61</f>
        <v>0</v>
      </c>
      <c r="Z60">
        <f>[1]TDSheet!Z61</f>
        <v>44649</v>
      </c>
      <c r="AA60" t="str">
        <f>[1]TDSheet!AA61</f>
        <v>29/03-35_2022</v>
      </c>
      <c r="AB60">
        <f>[1]TDSheet!AB61</f>
        <v>0</v>
      </c>
      <c r="AC60">
        <f>[1]TDSheet!AC61</f>
        <v>0</v>
      </c>
      <c r="AD60">
        <f>[1]TDSheet!AD61</f>
        <v>0</v>
      </c>
      <c r="AE60">
        <f>[1]TDSheet!AE61</f>
        <v>0</v>
      </c>
      <c r="AF60">
        <f>[1]TDSheet!AF61</f>
        <v>0</v>
      </c>
      <c r="AG60">
        <f>[1]TDSheet!AG61</f>
        <v>0</v>
      </c>
      <c r="AH60">
        <f>[1]TDSheet!AH61</f>
        <v>0</v>
      </c>
      <c r="AI60">
        <f>[1]TDSheet!AI61</f>
        <v>0</v>
      </c>
      <c r="AJ60">
        <f>[1]TDSheet!AJ61</f>
        <v>0</v>
      </c>
      <c r="AK60">
        <f>[1]TDSheet!AK61</f>
        <v>0</v>
      </c>
      <c r="AL60">
        <f>[1]TDSheet!AL61</f>
        <v>0</v>
      </c>
      <c r="AM60">
        <f>[1]TDSheet!AM61</f>
        <v>0</v>
      </c>
      <c r="AN60">
        <f>[1]TDSheet!AN61</f>
        <v>0</v>
      </c>
      <c r="AO60">
        <f>[1]TDSheet!AO61</f>
        <v>0</v>
      </c>
      <c r="AP60">
        <f>[1]TDSheet!AP61</f>
        <v>0</v>
      </c>
      <c r="AQ60">
        <f>[1]TDSheet!AQ61</f>
        <v>0</v>
      </c>
      <c r="AR60">
        <f>[1]TDSheet!AR61</f>
        <v>0</v>
      </c>
      <c r="AS60">
        <f>[1]TDSheet!AS61</f>
        <v>0</v>
      </c>
      <c r="AT60">
        <f>[1]TDSheet!AT61</f>
        <v>0</v>
      </c>
      <c r="AU60">
        <f>[1]TDSheet!AU61</f>
        <v>0</v>
      </c>
      <c r="AV60">
        <f>[1]TDSheet!AV61</f>
        <v>0</v>
      </c>
      <c r="AW60">
        <f>[1]TDSheet!AW61</f>
        <v>0</v>
      </c>
      <c r="AX60">
        <f>[1]TDSheet!AX61</f>
        <v>0</v>
      </c>
      <c r="AY60">
        <f>[1]TDSheet!AY61</f>
        <v>0</v>
      </c>
      <c r="AZ60">
        <f>[1]TDSheet!AZ61</f>
        <v>0</v>
      </c>
      <c r="BA60">
        <f>[1]TDSheet!BA61</f>
        <v>0</v>
      </c>
      <c r="BB60">
        <f>[1]TDSheet!BB61</f>
        <v>0</v>
      </c>
      <c r="BC60">
        <f>[1]TDSheet!BC61</f>
        <v>0</v>
      </c>
      <c r="BD60">
        <f>[1]TDSheet!BD61</f>
        <v>0</v>
      </c>
      <c r="BE60">
        <f>[1]TDSheet!BE61</f>
        <v>0</v>
      </c>
    </row>
    <row r="61" spans="1:57" x14ac:dyDescent="0.25">
      <c r="A61" t="str">
        <f>[1]TDSheet!A62</f>
        <v xml:space="preserve">Анисимов Дмитрий Юрьевич </v>
      </c>
      <c r="B61" t="str">
        <f>[1]TDSheet!B62</f>
        <v>Стяжечник</v>
      </c>
      <c r="C61" t="str">
        <f>TEXT([1]TDSheet!C62,"ДД.ММ.ГГГГ")</f>
        <v>14.01.1979</v>
      </c>
      <c r="D61" t="str">
        <f>[1]TDSheet!D62</f>
        <v>РОССИЯ</v>
      </c>
      <c r="E61">
        <f>[1]TDSheet!E62</f>
        <v>0</v>
      </c>
      <c r="F61">
        <f>[1]TDSheet!F62</f>
        <v>0</v>
      </c>
      <c r="G61" t="str">
        <f>[1]TDSheet!G62</f>
        <v>Паспорт гражданина РФ</v>
      </c>
      <c r="H61" t="str">
        <f>[1]TDSheet!H62</f>
        <v>Серия</v>
      </c>
      <c r="I61">
        <f>[1]TDSheet!I62</f>
        <v>4611</v>
      </c>
      <c r="J61" t="str">
        <f>[1]TDSheet!J62</f>
        <v>Номер</v>
      </c>
      <c r="K61">
        <f>[1]TDSheet!K62</f>
        <v>456439</v>
      </c>
      <c r="L61" t="str">
        <f>[1]TDSheet!L62</f>
        <v>Выдан</v>
      </c>
      <c r="M61" t="str">
        <f>TEXT([1]TDSheet!M62,"ДД.ММ.ГГГГ")</f>
        <v>10.10.2011</v>
      </c>
      <c r="N61" t="str">
        <f>[1]TDSheet!N62</f>
        <v xml:space="preserve">ТБ №1 ОУФМС России по Московской обл. Солнесногорскому муниципальному району </v>
      </c>
      <c r="O61" t="str">
        <f>[1]TDSheet!O62</f>
        <v>500-159</v>
      </c>
      <c r="P61" t="str">
        <f>[1]TDSheet!P62</f>
        <v xml:space="preserve">Серия 4611 Номер 456439,Выдан 10.10.2011 ТБ №1 ОУФМС России по Московской обл. Солнесногорскому муниципальному району </v>
      </c>
      <c r="Q61" t="str">
        <f>[1]TDSheet!Q62</f>
        <v>пос. Октябрьский ул. Советская д.7 кв.7</v>
      </c>
      <c r="R61" t="str">
        <f>[1]TDSheet!R62</f>
        <v>пос. Октябрьский ул. Советская д.7 кв.7</v>
      </c>
      <c r="S61">
        <f>[1]TDSheet!S62</f>
        <v>0</v>
      </c>
      <c r="T61">
        <f>[1]TDSheet!T62</f>
        <v>0</v>
      </c>
      <c r="U61">
        <f>[1]TDSheet!U62</f>
        <v>0</v>
      </c>
      <c r="V61">
        <f>[1]TDSheet!V62</f>
        <v>0</v>
      </c>
      <c r="W61">
        <f>[1]TDSheet!W62</f>
        <v>0</v>
      </c>
      <c r="X61">
        <f>[1]TDSheet!X62</f>
        <v>0</v>
      </c>
      <c r="Y61">
        <f>[1]TDSheet!Y62</f>
        <v>0</v>
      </c>
      <c r="Z61">
        <f>[1]TDSheet!Z62</f>
        <v>44649</v>
      </c>
      <c r="AA61" t="str">
        <f>[1]TDSheet!AA62</f>
        <v>29/03-36_2022</v>
      </c>
      <c r="AB61">
        <f>[1]TDSheet!AB62</f>
        <v>0</v>
      </c>
      <c r="AC61">
        <f>[1]TDSheet!AC62</f>
        <v>0</v>
      </c>
      <c r="AD61">
        <f>[1]TDSheet!AD62</f>
        <v>0</v>
      </c>
      <c r="AE61">
        <f>[1]TDSheet!AE62</f>
        <v>0</v>
      </c>
      <c r="AF61">
        <f>[1]TDSheet!AF62</f>
        <v>0</v>
      </c>
      <c r="AG61">
        <f>[1]TDSheet!AG62</f>
        <v>0</v>
      </c>
      <c r="AH61">
        <f>[1]TDSheet!AH62</f>
        <v>0</v>
      </c>
      <c r="AI61">
        <f>[1]TDSheet!AI62</f>
        <v>0</v>
      </c>
      <c r="AJ61">
        <f>[1]TDSheet!AJ62</f>
        <v>0</v>
      </c>
      <c r="AK61">
        <f>[1]TDSheet!AK62</f>
        <v>0</v>
      </c>
      <c r="AL61">
        <f>[1]TDSheet!AL62</f>
        <v>0</v>
      </c>
      <c r="AM61">
        <f>[1]TDSheet!AM62</f>
        <v>0</v>
      </c>
      <c r="AN61">
        <f>[1]TDSheet!AN62</f>
        <v>0</v>
      </c>
      <c r="AO61">
        <f>[1]TDSheet!AO62</f>
        <v>0</v>
      </c>
      <c r="AP61">
        <f>[1]TDSheet!AP62</f>
        <v>0</v>
      </c>
      <c r="AQ61">
        <f>[1]TDSheet!AQ62</f>
        <v>0</v>
      </c>
      <c r="AR61">
        <f>[1]TDSheet!AR62</f>
        <v>0</v>
      </c>
      <c r="AS61">
        <f>[1]TDSheet!AS62</f>
        <v>0</v>
      </c>
      <c r="AT61">
        <f>[1]TDSheet!AT62</f>
        <v>0</v>
      </c>
      <c r="AU61">
        <f>[1]TDSheet!AU62</f>
        <v>0</v>
      </c>
      <c r="AV61">
        <f>[1]TDSheet!AV62</f>
        <v>0</v>
      </c>
      <c r="AW61">
        <f>[1]TDSheet!AW62</f>
        <v>0</v>
      </c>
      <c r="AX61">
        <f>[1]TDSheet!AX62</f>
        <v>0</v>
      </c>
      <c r="AY61">
        <f>[1]TDSheet!AY62</f>
        <v>0</v>
      </c>
      <c r="AZ61">
        <f>[1]TDSheet!AZ62</f>
        <v>0</v>
      </c>
      <c r="BA61">
        <f>[1]TDSheet!BA62</f>
        <v>0</v>
      </c>
      <c r="BB61">
        <f>[1]TDSheet!BB62</f>
        <v>0</v>
      </c>
      <c r="BC61">
        <f>[1]TDSheet!BC62</f>
        <v>0</v>
      </c>
      <c r="BD61">
        <f>[1]TDSheet!BD62</f>
        <v>0</v>
      </c>
      <c r="BE61">
        <f>[1]TDSheet!BE62</f>
        <v>0</v>
      </c>
    </row>
    <row r="62" spans="1:57" x14ac:dyDescent="0.25">
      <c r="A62" t="str">
        <f>[1]TDSheet!A63</f>
        <v xml:space="preserve">Ирбулин Сергей Игоревич </v>
      </c>
      <c r="B62" t="str">
        <f>[1]TDSheet!B63</f>
        <v>Стяжечник</v>
      </c>
      <c r="C62" t="str">
        <f>TEXT([1]TDSheet!C63,"ДД.ММ.ГГГГ")</f>
        <v>06.11.1996</v>
      </c>
      <c r="D62" t="str">
        <f>[1]TDSheet!D63</f>
        <v>РОССИЯ</v>
      </c>
      <c r="E62">
        <f>[1]TDSheet!E63</f>
        <v>0</v>
      </c>
      <c r="F62">
        <f>[1]TDSheet!F63</f>
        <v>0</v>
      </c>
      <c r="G62" t="str">
        <f>[1]TDSheet!G63</f>
        <v>Паспорт гражданина РФ</v>
      </c>
      <c r="H62" t="str">
        <f>[1]TDSheet!H63</f>
        <v>Серия</v>
      </c>
      <c r="I62">
        <f>[1]TDSheet!I63</f>
        <v>1717</v>
      </c>
      <c r="J62" t="str">
        <f>[1]TDSheet!J63</f>
        <v>Номер</v>
      </c>
      <c r="K62">
        <f>[1]TDSheet!K63</f>
        <v>573563</v>
      </c>
      <c r="L62" t="str">
        <f>[1]TDSheet!L63</f>
        <v>Выдан</v>
      </c>
      <c r="M62" t="str">
        <f>TEXT([1]TDSheet!M63,"ДД.ММ.ГГГГ")</f>
        <v>28.11.2017</v>
      </c>
      <c r="N62" t="str">
        <f>[1]TDSheet!N63</f>
        <v xml:space="preserve">МРО УФМС по Владимирской области в г. Вязники </v>
      </c>
      <c r="O62" t="str">
        <f>[1]TDSheet!O63</f>
        <v>330-020</v>
      </c>
      <c r="P62" t="str">
        <f>[1]TDSheet!P63</f>
        <v xml:space="preserve">Серия 1717 Номер 573563,Выдан 28.11.2017 МРО УФМС по Владимирской области в г. Вязники </v>
      </c>
      <c r="Q62" t="str">
        <f>[1]TDSheet!Q63</f>
        <v>Владимирская область, вязниковский район, пос. Октябрьский ул. Клубная дом.5 кв.15</v>
      </c>
      <c r="R62" t="str">
        <f>[1]TDSheet!R63</f>
        <v>Владимирская область, вязниковский район, пос. Октябрьский ул. Клубная дом.5 кв.15</v>
      </c>
      <c r="S62">
        <f>[1]TDSheet!S63</f>
        <v>0</v>
      </c>
      <c r="T62">
        <f>[1]TDSheet!T63</f>
        <v>0</v>
      </c>
      <c r="U62">
        <f>[1]TDSheet!U63</f>
        <v>0</v>
      </c>
      <c r="V62">
        <f>[1]TDSheet!V63</f>
        <v>0</v>
      </c>
      <c r="W62">
        <f>[1]TDSheet!W63</f>
        <v>0</v>
      </c>
      <c r="X62">
        <f>[1]TDSheet!X63</f>
        <v>0</v>
      </c>
      <c r="Y62">
        <f>[1]TDSheet!Y63</f>
        <v>0</v>
      </c>
      <c r="Z62">
        <f>[1]TDSheet!Z63</f>
        <v>44649</v>
      </c>
      <c r="AA62" t="str">
        <f>[1]TDSheet!AA63</f>
        <v>29/03-37_2022</v>
      </c>
      <c r="AB62">
        <f>[1]TDSheet!AB63</f>
        <v>0</v>
      </c>
      <c r="AC62">
        <f>[1]TDSheet!AC63</f>
        <v>0</v>
      </c>
      <c r="AD62">
        <f>[1]TDSheet!AD63</f>
        <v>0</v>
      </c>
      <c r="AE62">
        <f>[1]TDSheet!AE63</f>
        <v>0</v>
      </c>
      <c r="AF62">
        <f>[1]TDSheet!AF63</f>
        <v>0</v>
      </c>
      <c r="AG62">
        <f>[1]TDSheet!AG63</f>
        <v>0</v>
      </c>
      <c r="AH62">
        <f>[1]TDSheet!AH63</f>
        <v>0</v>
      </c>
      <c r="AI62">
        <f>[1]TDSheet!AI63</f>
        <v>0</v>
      </c>
      <c r="AJ62">
        <f>[1]TDSheet!AJ63</f>
        <v>0</v>
      </c>
      <c r="AK62">
        <f>[1]TDSheet!AK63</f>
        <v>0</v>
      </c>
      <c r="AL62">
        <f>[1]TDSheet!AL63</f>
        <v>0</v>
      </c>
      <c r="AM62">
        <f>[1]TDSheet!AM63</f>
        <v>0</v>
      </c>
      <c r="AN62">
        <f>[1]TDSheet!AN63</f>
        <v>0</v>
      </c>
      <c r="AO62">
        <f>[1]TDSheet!AO63</f>
        <v>0</v>
      </c>
      <c r="AP62">
        <f>[1]TDSheet!AP63</f>
        <v>0</v>
      </c>
      <c r="AQ62">
        <f>[1]TDSheet!AQ63</f>
        <v>0</v>
      </c>
      <c r="AR62">
        <f>[1]TDSheet!AR63</f>
        <v>0</v>
      </c>
      <c r="AS62">
        <f>[1]TDSheet!AS63</f>
        <v>0</v>
      </c>
      <c r="AT62">
        <f>[1]TDSheet!AT63</f>
        <v>0</v>
      </c>
      <c r="AU62">
        <f>[1]TDSheet!AU63</f>
        <v>0</v>
      </c>
      <c r="AV62">
        <f>[1]TDSheet!AV63</f>
        <v>0</v>
      </c>
      <c r="AW62">
        <f>[1]TDSheet!AW63</f>
        <v>0</v>
      </c>
      <c r="AX62">
        <f>[1]TDSheet!AX63</f>
        <v>0</v>
      </c>
      <c r="AY62">
        <f>[1]TDSheet!AY63</f>
        <v>0</v>
      </c>
      <c r="AZ62">
        <f>[1]TDSheet!AZ63</f>
        <v>0</v>
      </c>
      <c r="BA62">
        <f>[1]TDSheet!BA63</f>
        <v>0</v>
      </c>
      <c r="BB62">
        <f>[1]TDSheet!BB63</f>
        <v>0</v>
      </c>
      <c r="BC62">
        <f>[1]TDSheet!BC63</f>
        <v>0</v>
      </c>
      <c r="BD62">
        <f>[1]TDSheet!BD63</f>
        <v>0</v>
      </c>
      <c r="BE62">
        <f>[1]TDSheet!BE63</f>
        <v>0</v>
      </c>
    </row>
    <row r="63" spans="1:57" x14ac:dyDescent="0.25">
      <c r="A63" t="str">
        <f>[1]TDSheet!A64</f>
        <v>Котов Иван Александрович</v>
      </c>
      <c r="B63" t="str">
        <f>[1]TDSheet!B64</f>
        <v>Начальник участка</v>
      </c>
      <c r="C63" t="str">
        <f>TEXT([1]TDSheet!C64,"ДД.ММ.ГГГГ")</f>
        <v>25.01.1989</v>
      </c>
      <c r="D63" t="str">
        <f>[1]TDSheet!D64</f>
        <v>РОССИЯ</v>
      </c>
      <c r="E63">
        <f>[1]TDSheet!E64</f>
        <v>0</v>
      </c>
      <c r="F63">
        <f>[1]TDSheet!F64</f>
        <v>0</v>
      </c>
      <c r="G63" t="str">
        <f>[1]TDSheet!G64</f>
        <v>Паспорт гражданина РФ</v>
      </c>
      <c r="H63" t="str">
        <f>[1]TDSheet!H64</f>
        <v>Серия</v>
      </c>
      <c r="I63">
        <f>[1]TDSheet!I64</f>
        <v>6008</v>
      </c>
      <c r="J63" t="str">
        <f>[1]TDSheet!J64</f>
        <v>Номер</v>
      </c>
      <c r="K63">
        <f>[1]TDSheet!K64</f>
        <v>420824</v>
      </c>
      <c r="L63" t="str">
        <f>[1]TDSheet!L64</f>
        <v>Выдан</v>
      </c>
      <c r="M63" t="str">
        <f>TEXT([1]TDSheet!M64,"ДД.ММ.ГГГГ")</f>
        <v>04.02.2009</v>
      </c>
      <c r="N63" t="str">
        <f>[1]TDSheet!N64</f>
        <v>Отделом УФМС России по Ростовской области в городе Белая Калитва</v>
      </c>
      <c r="O63" t="str">
        <f>[1]TDSheet!O64</f>
        <v>610-021</v>
      </c>
      <c r="P63" t="str">
        <f>[1]TDSheet!P64</f>
        <v>Серия 6008 Номер 420824,Выдан 04.02.2009 Отделом УФМС России по Ростовской области в городе Белая Калитва</v>
      </c>
      <c r="Q63" t="str">
        <f>[1]TDSheet!Q64</f>
        <v>г. Видное ул. Гаевского д. 6Б кв.19</v>
      </c>
      <c r="R63" t="str">
        <f>[1]TDSheet!R64</f>
        <v>г. Видное ул. Гаевского д. 6Б кв.19</v>
      </c>
      <c r="S63">
        <f>[1]TDSheet!S64</f>
        <v>0</v>
      </c>
      <c r="T63">
        <f>[1]TDSheet!T64</f>
        <v>0</v>
      </c>
      <c r="U63">
        <f>[1]TDSheet!U64</f>
        <v>0</v>
      </c>
      <c r="V63">
        <f>[1]TDSheet!V64</f>
        <v>0</v>
      </c>
      <c r="W63">
        <f>[1]TDSheet!W64</f>
        <v>0</v>
      </c>
      <c r="X63">
        <f>[1]TDSheet!X64</f>
        <v>0</v>
      </c>
      <c r="Y63">
        <f>[1]TDSheet!Y64</f>
        <v>0</v>
      </c>
      <c r="Z63">
        <f>[1]TDSheet!Z64</f>
        <v>44649</v>
      </c>
      <c r="AA63" t="str">
        <f>[1]TDSheet!AA64</f>
        <v>29/03-38_2022</v>
      </c>
      <c r="AB63">
        <f>[1]TDSheet!AB64</f>
        <v>0</v>
      </c>
      <c r="AC63">
        <f>[1]TDSheet!AC64</f>
        <v>0</v>
      </c>
      <c r="AD63">
        <f>[1]TDSheet!AD64</f>
        <v>0</v>
      </c>
      <c r="AE63">
        <f>[1]TDSheet!AE64</f>
        <v>0</v>
      </c>
      <c r="AF63">
        <f>[1]TDSheet!AF64</f>
        <v>0</v>
      </c>
      <c r="AG63">
        <f>[1]TDSheet!AG64</f>
        <v>0</v>
      </c>
      <c r="AH63">
        <f>[1]TDSheet!AH64</f>
        <v>0</v>
      </c>
      <c r="AI63">
        <f>[1]TDSheet!AI64</f>
        <v>0</v>
      </c>
      <c r="AJ63">
        <f>[1]TDSheet!AJ64</f>
        <v>0</v>
      </c>
      <c r="AK63">
        <f>[1]TDSheet!AK64</f>
        <v>0</v>
      </c>
      <c r="AL63">
        <f>[1]TDSheet!AL64</f>
        <v>0</v>
      </c>
      <c r="AM63">
        <f>[1]TDSheet!AM64</f>
        <v>0</v>
      </c>
      <c r="AN63">
        <f>[1]TDSheet!AN64</f>
        <v>0</v>
      </c>
      <c r="AO63">
        <f>[1]TDSheet!AO64</f>
        <v>0</v>
      </c>
      <c r="AP63">
        <f>[1]TDSheet!AP64</f>
        <v>0</v>
      </c>
      <c r="AQ63">
        <f>[1]TDSheet!AQ64</f>
        <v>0</v>
      </c>
      <c r="AR63">
        <f>[1]TDSheet!AR64</f>
        <v>0</v>
      </c>
      <c r="AS63">
        <f>[1]TDSheet!AS64</f>
        <v>0</v>
      </c>
      <c r="AT63">
        <f>[1]TDSheet!AT64</f>
        <v>0</v>
      </c>
      <c r="AU63">
        <f>[1]TDSheet!AU64</f>
        <v>0</v>
      </c>
      <c r="AV63">
        <f>[1]TDSheet!AV64</f>
        <v>0</v>
      </c>
      <c r="AW63">
        <f>[1]TDSheet!AW64</f>
        <v>0</v>
      </c>
      <c r="AX63">
        <f>[1]TDSheet!AX64</f>
        <v>0</v>
      </c>
      <c r="AY63">
        <f>[1]TDSheet!AY64</f>
        <v>0</v>
      </c>
      <c r="AZ63">
        <f>[1]TDSheet!AZ64</f>
        <v>0</v>
      </c>
      <c r="BA63">
        <f>[1]TDSheet!BA64</f>
        <v>0</v>
      </c>
      <c r="BB63">
        <f>[1]TDSheet!BB64</f>
        <v>0</v>
      </c>
      <c r="BC63">
        <f>[1]TDSheet!BC64</f>
        <v>0</v>
      </c>
      <c r="BD63">
        <f>[1]TDSheet!BD64</f>
        <v>0</v>
      </c>
      <c r="BE63">
        <f>[1]TDSheet!BE64</f>
        <v>0</v>
      </c>
    </row>
    <row r="64" spans="1:57" x14ac:dyDescent="0.25">
      <c r="A64" t="str">
        <f>[1]TDSheet!A65</f>
        <v>Семенов Геннадий Александрович</v>
      </c>
      <c r="B64" t="str">
        <f>[1]TDSheet!B65</f>
        <v>Стяжечник</v>
      </c>
      <c r="C64" t="str">
        <f>TEXT([1]TDSheet!C65,"ДД.ММ.ГГГГ")</f>
        <v>10.12.1977</v>
      </c>
      <c r="D64" t="str">
        <f>[1]TDSheet!D65</f>
        <v>РОССИЯ</v>
      </c>
      <c r="E64">
        <f>[1]TDSheet!E65</f>
        <v>0</v>
      </c>
      <c r="F64">
        <f>[1]TDSheet!F65</f>
        <v>0</v>
      </c>
      <c r="G64" t="str">
        <f>[1]TDSheet!G65</f>
        <v>Паспорт гражданина РФ</v>
      </c>
      <c r="H64" t="str">
        <f>[1]TDSheet!H65</f>
        <v>Серия</v>
      </c>
      <c r="I64">
        <f>[1]TDSheet!I65</f>
        <v>4620</v>
      </c>
      <c r="J64" t="str">
        <f>[1]TDSheet!J65</f>
        <v>Номер</v>
      </c>
      <c r="K64">
        <f>[1]TDSheet!K65</f>
        <v>9080339</v>
      </c>
      <c r="L64" t="str">
        <f>[1]TDSheet!L65</f>
        <v>Выдан</v>
      </c>
      <c r="M64" t="str">
        <f>TEXT([1]TDSheet!M65,"ДД.ММ.ГГГГ")</f>
        <v>13.11.2020</v>
      </c>
      <c r="N64" t="str">
        <f>[1]TDSheet!N65</f>
        <v>ГУ МВД РОССИИ ПО МОСКОВСКОЙ ОБЛАСТИ</v>
      </c>
      <c r="O64" t="str">
        <f>[1]TDSheet!O65</f>
        <v>500-007</v>
      </c>
      <c r="P64" t="str">
        <f>[1]TDSheet!P65</f>
        <v>Серия 4620 Номер 9080339,Выдан 13.11.2020 ГУ МВД РОССИИ ПО МОСКОВСКОЙ ОБЛАСТИ</v>
      </c>
      <c r="Q64" t="str">
        <f>[1]TDSheet!Q65</f>
        <v>Московская обл. г.Балашиха ул. Карбышева д.27. кв.44</v>
      </c>
      <c r="R64" t="str">
        <f>[1]TDSheet!R65</f>
        <v>Московская обл. г.Балашиха ул. Карбышева д.27. кв.44</v>
      </c>
      <c r="S64">
        <f>[1]TDSheet!S65</f>
        <v>0</v>
      </c>
      <c r="T64">
        <f>[1]TDSheet!T65</f>
        <v>0</v>
      </c>
      <c r="U64">
        <f>[1]TDSheet!U65</f>
        <v>0</v>
      </c>
      <c r="V64">
        <f>[1]TDSheet!V65</f>
        <v>0</v>
      </c>
      <c r="W64">
        <f>[1]TDSheet!W65</f>
        <v>0</v>
      </c>
      <c r="X64">
        <f>[1]TDSheet!X65</f>
        <v>0</v>
      </c>
      <c r="Y64">
        <f>[1]TDSheet!Y65</f>
        <v>0</v>
      </c>
      <c r="Z64">
        <f>[1]TDSheet!Z65</f>
        <v>44649</v>
      </c>
      <c r="AA64" t="str">
        <f>[1]TDSheet!AA65</f>
        <v>29/03-39_2022</v>
      </c>
      <c r="AB64">
        <f>[1]TDSheet!AB65</f>
        <v>0</v>
      </c>
      <c r="AC64">
        <f>[1]TDSheet!AC65</f>
        <v>0</v>
      </c>
      <c r="AD64">
        <f>[1]TDSheet!AD65</f>
        <v>0</v>
      </c>
      <c r="AE64">
        <f>[1]TDSheet!AE65</f>
        <v>0</v>
      </c>
      <c r="AF64">
        <f>[1]TDSheet!AF65</f>
        <v>0</v>
      </c>
      <c r="AG64">
        <f>[1]TDSheet!AG65</f>
        <v>0</v>
      </c>
      <c r="AH64">
        <f>[1]TDSheet!AH65</f>
        <v>0</v>
      </c>
      <c r="AI64">
        <f>[1]TDSheet!AI65</f>
        <v>0</v>
      </c>
      <c r="AJ64">
        <f>[1]TDSheet!AJ65</f>
        <v>0</v>
      </c>
      <c r="AK64">
        <f>[1]TDSheet!AK65</f>
        <v>0</v>
      </c>
      <c r="AL64">
        <f>[1]TDSheet!AL65</f>
        <v>0</v>
      </c>
      <c r="AM64">
        <f>[1]TDSheet!AM65</f>
        <v>0</v>
      </c>
      <c r="AN64">
        <f>[1]TDSheet!AN65</f>
        <v>0</v>
      </c>
      <c r="AO64">
        <f>[1]TDSheet!AO65</f>
        <v>0</v>
      </c>
      <c r="AP64">
        <f>[1]TDSheet!AP65</f>
        <v>0</v>
      </c>
      <c r="AQ64">
        <f>[1]TDSheet!AQ65</f>
        <v>0</v>
      </c>
      <c r="AR64">
        <f>[1]TDSheet!AR65</f>
        <v>0</v>
      </c>
      <c r="AS64">
        <f>[1]TDSheet!AS65</f>
        <v>0</v>
      </c>
      <c r="AT64">
        <f>[1]TDSheet!AT65</f>
        <v>0</v>
      </c>
      <c r="AU64">
        <f>[1]TDSheet!AU65</f>
        <v>0</v>
      </c>
      <c r="AV64">
        <f>[1]TDSheet!AV65</f>
        <v>0</v>
      </c>
      <c r="AW64">
        <f>[1]TDSheet!AW65</f>
        <v>0</v>
      </c>
      <c r="AX64">
        <f>[1]TDSheet!AX65</f>
        <v>0</v>
      </c>
      <c r="AY64">
        <f>[1]TDSheet!AY65</f>
        <v>0</v>
      </c>
      <c r="AZ64">
        <f>[1]TDSheet!AZ65</f>
        <v>0</v>
      </c>
      <c r="BA64">
        <f>[1]TDSheet!BA65</f>
        <v>0</v>
      </c>
      <c r="BB64">
        <f>[1]TDSheet!BB65</f>
        <v>0</v>
      </c>
      <c r="BC64">
        <f>[1]TDSheet!BC65</f>
        <v>0</v>
      </c>
      <c r="BD64">
        <f>[1]TDSheet!BD65</f>
        <v>0</v>
      </c>
      <c r="BE64">
        <f>[1]TDSheet!BE65</f>
        <v>0</v>
      </c>
    </row>
    <row r="65" spans="1:57" x14ac:dyDescent="0.25">
      <c r="A65" t="str">
        <f>[1]TDSheet!A66</f>
        <v>Скавронский Алексей Иванович</v>
      </c>
      <c r="B65" t="str">
        <f>[1]TDSheet!B66</f>
        <v>Руководитель проекта</v>
      </c>
      <c r="C65" t="str">
        <f>TEXT([1]TDSheet!C66,"ДД.ММ.ГГГГ")</f>
        <v>26.10.1978</v>
      </c>
      <c r="D65" t="str">
        <f>[1]TDSheet!D66</f>
        <v>РОССИЯ</v>
      </c>
      <c r="E65">
        <f>[1]TDSheet!E66</f>
        <v>0</v>
      </c>
      <c r="F65">
        <f>[1]TDSheet!F66</f>
        <v>0</v>
      </c>
      <c r="G65" t="str">
        <f>[1]TDSheet!G66</f>
        <v>Паспорт гражданина РФ</v>
      </c>
      <c r="H65" t="str">
        <f>[1]TDSheet!H66</f>
        <v>Серия</v>
      </c>
      <c r="I65">
        <f>[1]TDSheet!I66</f>
        <v>9903</v>
      </c>
      <c r="J65" t="str">
        <f>[1]TDSheet!J66</f>
        <v>Номер</v>
      </c>
      <c r="K65">
        <f>[1]TDSheet!K66</f>
        <v>165885</v>
      </c>
      <c r="L65" t="str">
        <f>[1]TDSheet!L66</f>
        <v>Выдан</v>
      </c>
      <c r="M65" t="str">
        <f>TEXT([1]TDSheet!M66,"ДД.ММ.ГГГГ")</f>
        <v>11.12.2003</v>
      </c>
      <c r="N65" t="str">
        <f>[1]TDSheet!N66</f>
        <v xml:space="preserve">Облученским РОВД Еврейской Автономной  области </v>
      </c>
      <c r="O65" t="str">
        <f>[1]TDSheet!O66</f>
        <v>792-005</v>
      </c>
      <c r="P65" t="str">
        <f>[1]TDSheet!P66</f>
        <v xml:space="preserve">Серия 9903 Номер 165885,Выдан 11.12.2003 Облученским РОВД Еврейской Автономной  области </v>
      </c>
      <c r="Q65" t="str">
        <f>[1]TDSheet!Q66</f>
        <v>район Кунцево, ул. Истринская д.8 корп.3 кв 98</v>
      </c>
      <c r="R65" t="str">
        <f>[1]TDSheet!R66</f>
        <v>район Кунцево, ул. Истринская д.8 корп.3 кв 98</v>
      </c>
      <c r="S65">
        <f>[1]TDSheet!S66</f>
        <v>0</v>
      </c>
      <c r="T65">
        <f>[1]TDSheet!T66</f>
        <v>0</v>
      </c>
      <c r="U65">
        <f>[1]TDSheet!U66</f>
        <v>0</v>
      </c>
      <c r="V65">
        <f>[1]TDSheet!V66</f>
        <v>0</v>
      </c>
      <c r="W65">
        <f>[1]TDSheet!W66</f>
        <v>0</v>
      </c>
      <c r="X65">
        <f>[1]TDSheet!X66</f>
        <v>0</v>
      </c>
      <c r="Y65">
        <f>[1]TDSheet!Y66</f>
        <v>0</v>
      </c>
      <c r="Z65">
        <f>[1]TDSheet!Z66</f>
        <v>44649</v>
      </c>
      <c r="AA65" t="str">
        <f>[1]TDSheet!AA66</f>
        <v>29/03-40_2022</v>
      </c>
      <c r="AB65">
        <f>[1]TDSheet!AB66</f>
        <v>0</v>
      </c>
      <c r="AC65">
        <f>[1]TDSheet!AC66</f>
        <v>0</v>
      </c>
      <c r="AD65">
        <f>[1]TDSheet!AD66</f>
        <v>0</v>
      </c>
      <c r="AE65">
        <f>[1]TDSheet!AE66</f>
        <v>0</v>
      </c>
      <c r="AF65">
        <f>[1]TDSheet!AF66</f>
        <v>0</v>
      </c>
      <c r="AG65">
        <f>[1]TDSheet!AG66</f>
        <v>0</v>
      </c>
      <c r="AH65">
        <f>[1]TDSheet!AH66</f>
        <v>0</v>
      </c>
      <c r="AI65">
        <f>[1]TDSheet!AI66</f>
        <v>0</v>
      </c>
      <c r="AJ65">
        <f>[1]TDSheet!AJ66</f>
        <v>0</v>
      </c>
      <c r="AK65">
        <f>[1]TDSheet!AK66</f>
        <v>0</v>
      </c>
      <c r="AL65">
        <f>[1]TDSheet!AL66</f>
        <v>0</v>
      </c>
      <c r="AM65">
        <f>[1]TDSheet!AM66</f>
        <v>0</v>
      </c>
      <c r="AN65">
        <f>[1]TDSheet!AN66</f>
        <v>0</v>
      </c>
      <c r="AO65">
        <f>[1]TDSheet!AO66</f>
        <v>0</v>
      </c>
      <c r="AP65">
        <f>[1]TDSheet!AP66</f>
        <v>0</v>
      </c>
      <c r="AQ65">
        <f>[1]TDSheet!AQ66</f>
        <v>0</v>
      </c>
      <c r="AR65">
        <f>[1]TDSheet!AR66</f>
        <v>0</v>
      </c>
      <c r="AS65">
        <f>[1]TDSheet!AS66</f>
        <v>0</v>
      </c>
      <c r="AT65">
        <f>[1]TDSheet!AT66</f>
        <v>0</v>
      </c>
      <c r="AU65">
        <f>[1]TDSheet!AU66</f>
        <v>0</v>
      </c>
      <c r="AV65">
        <f>[1]TDSheet!AV66</f>
        <v>0</v>
      </c>
      <c r="AW65">
        <f>[1]TDSheet!AW66</f>
        <v>0</v>
      </c>
      <c r="AX65">
        <f>[1]TDSheet!AX66</f>
        <v>0</v>
      </c>
      <c r="AY65">
        <f>[1]TDSheet!AY66</f>
        <v>0</v>
      </c>
      <c r="AZ65">
        <f>[1]TDSheet!AZ66</f>
        <v>0</v>
      </c>
      <c r="BA65">
        <f>[1]TDSheet!BA66</f>
        <v>0</v>
      </c>
      <c r="BB65">
        <f>[1]TDSheet!BB66</f>
        <v>0</v>
      </c>
      <c r="BC65">
        <f>[1]TDSheet!BC66</f>
        <v>0</v>
      </c>
      <c r="BD65">
        <f>[1]TDSheet!BD66</f>
        <v>0</v>
      </c>
      <c r="BE65">
        <f>[1]TDSheet!BE66</f>
        <v>0</v>
      </c>
    </row>
    <row r="66" spans="1:57" x14ac:dyDescent="0.25">
      <c r="A66" t="str">
        <f>[1]TDSheet!A67</f>
        <v>Барсуков Михаил Николаевич</v>
      </c>
      <c r="B66" t="str">
        <f>[1]TDSheet!B67</f>
        <v>Кровельщик</v>
      </c>
      <c r="C66" t="str">
        <f>TEXT([1]TDSheet!C67,"ДД.ММ.ГГГГ")</f>
        <v>08.10.2001</v>
      </c>
      <c r="D66" t="str">
        <f>[1]TDSheet!D67</f>
        <v>РОССИЯ</v>
      </c>
      <c r="E66" t="str">
        <f>[1]TDSheet!E67</f>
        <v>261903764820</v>
      </c>
      <c r="F66" t="str">
        <f>[1]TDSheet!F67</f>
        <v>172-763-965 05</v>
      </c>
      <c r="G66" t="str">
        <f>[1]TDSheet!G67</f>
        <v>Паспорт гражданина РФ</v>
      </c>
      <c r="H66" t="str">
        <f>[1]TDSheet!H67</f>
        <v>Серия</v>
      </c>
      <c r="I66">
        <f>[1]TDSheet!I67</f>
        <v>4621</v>
      </c>
      <c r="J66" t="str">
        <f>[1]TDSheet!J67</f>
        <v>Номер</v>
      </c>
      <c r="K66">
        <f>[1]TDSheet!K67</f>
        <v>403466</v>
      </c>
      <c r="L66" t="str">
        <f>[1]TDSheet!L67</f>
        <v>Выдан</v>
      </c>
      <c r="M66" t="str">
        <f>TEXT([1]TDSheet!M67,"ДД.ММ.ГГГГ")</f>
        <v>24.11.2021</v>
      </c>
      <c r="N66" t="str">
        <f>[1]TDSheet!N67</f>
        <v>ГУ МВД РОССИИ ПО МОСКОВСКОЙ ОБЛАСТИ</v>
      </c>
      <c r="O66" t="str">
        <f>[1]TDSheet!O67</f>
        <v>500-096</v>
      </c>
      <c r="P66" t="str">
        <f>[1]TDSheet!P67</f>
        <v>Серия 4621 Номер 403466,Выдан 24.11.2021 ГУ МВД РОССИИ ПО МОСКОВСКОЙ ОБЛАСТИ</v>
      </c>
      <c r="Q66" t="str">
        <f>[1]TDSheet!Q67</f>
        <v>Ставропольский край, р-н Советский, с. Отказное ул. Степная д.36 кв.1</v>
      </c>
      <c r="R66" t="str">
        <f>[1]TDSheet!R67</f>
        <v>Ставропольский край, р-н Советский, с. Отказное ул. Степная д.36 кв.1</v>
      </c>
      <c r="S66">
        <f>[1]TDSheet!S67</f>
        <v>0</v>
      </c>
      <c r="T66">
        <f>[1]TDSheet!T67</f>
        <v>0</v>
      </c>
      <c r="U66">
        <f>[1]TDSheet!U67</f>
        <v>0</v>
      </c>
      <c r="V66">
        <f>[1]TDSheet!V67</f>
        <v>0</v>
      </c>
      <c r="W66">
        <f>[1]TDSheet!W67</f>
        <v>0</v>
      </c>
      <c r="X66">
        <f>[1]TDSheet!X67</f>
        <v>0</v>
      </c>
      <c r="Y66">
        <f>[1]TDSheet!Y67</f>
        <v>0</v>
      </c>
      <c r="Z66">
        <f>[1]TDSheet!Z67</f>
        <v>44643</v>
      </c>
      <c r="AA66" t="str">
        <f>[1]TDSheet!AA67</f>
        <v>23/03-25_2022</v>
      </c>
      <c r="AB66">
        <f>[1]TDSheet!AB67</f>
        <v>0</v>
      </c>
      <c r="AC66">
        <f>[1]TDSheet!AC67</f>
        <v>0</v>
      </c>
      <c r="AD66">
        <f>[1]TDSheet!AD67</f>
        <v>0</v>
      </c>
      <c r="AE66">
        <f>[1]TDSheet!AE67</f>
        <v>0</v>
      </c>
      <c r="AF66">
        <f>[1]TDSheet!AF67</f>
        <v>0</v>
      </c>
      <c r="AG66">
        <f>[1]TDSheet!AG67</f>
        <v>0</v>
      </c>
      <c r="AH66">
        <f>[1]TDSheet!AH67</f>
        <v>0</v>
      </c>
      <c r="AI66">
        <f>[1]TDSheet!AI67</f>
        <v>0</v>
      </c>
      <c r="AJ66">
        <f>[1]TDSheet!AJ67</f>
        <v>0</v>
      </c>
      <c r="AK66">
        <f>[1]TDSheet!AK67</f>
        <v>0</v>
      </c>
      <c r="AL66">
        <f>[1]TDSheet!AL67</f>
        <v>0</v>
      </c>
      <c r="AM66">
        <f>[1]TDSheet!AM67</f>
        <v>0</v>
      </c>
      <c r="AN66">
        <f>[1]TDSheet!AN67</f>
        <v>0</v>
      </c>
      <c r="AO66">
        <f>[1]TDSheet!AO67</f>
        <v>0</v>
      </c>
      <c r="AP66">
        <f>[1]TDSheet!AP67</f>
        <v>0</v>
      </c>
      <c r="AQ66">
        <f>[1]TDSheet!AQ67</f>
        <v>0</v>
      </c>
      <c r="AR66">
        <f>[1]TDSheet!AR67</f>
        <v>0</v>
      </c>
      <c r="AS66">
        <f>[1]TDSheet!AS67</f>
        <v>0</v>
      </c>
      <c r="AT66">
        <f>[1]TDSheet!AT67</f>
        <v>0</v>
      </c>
      <c r="AU66">
        <f>[1]TDSheet!AU67</f>
        <v>0</v>
      </c>
      <c r="AV66">
        <f>[1]TDSheet!AV67</f>
        <v>0</v>
      </c>
      <c r="AW66">
        <f>[1]TDSheet!AW67</f>
        <v>0</v>
      </c>
      <c r="AX66">
        <f>[1]TDSheet!AX67</f>
        <v>0</v>
      </c>
      <c r="AY66">
        <f>[1]TDSheet!AY67</f>
        <v>0</v>
      </c>
      <c r="AZ66">
        <f>[1]TDSheet!AZ67</f>
        <v>0</v>
      </c>
      <c r="BA66">
        <f>[1]TDSheet!BA67</f>
        <v>0</v>
      </c>
      <c r="BB66">
        <f>[1]TDSheet!BB67</f>
        <v>0</v>
      </c>
      <c r="BC66" t="str">
        <f>[1]TDSheet!BC67</f>
        <v>40817810740100928616</v>
      </c>
      <c r="BD66" t="str">
        <f>[1]TDSheet!BD67</f>
        <v>ПАО СБЕРБАНК</v>
      </c>
      <c r="BE66" t="str">
        <f>[1]TDSheet!BE67</f>
        <v>044525225</v>
      </c>
    </row>
    <row r="67" spans="1:57" x14ac:dyDescent="0.25">
      <c r="A67" t="str">
        <f>[1]TDSheet!A68</f>
        <v>Устинова Анастасия Алексеевна</v>
      </c>
      <c r="B67" t="str">
        <f>[1]TDSheet!B68</f>
        <v>Инженер-сметчик</v>
      </c>
      <c r="C67" t="str">
        <f>TEXT([1]TDSheet!C68,"ДД.ММ.ГГГГ")</f>
        <v>09.06.2002</v>
      </c>
      <c r="D67" t="str">
        <f>[1]TDSheet!D68</f>
        <v>РОССИЯ</v>
      </c>
      <c r="E67">
        <f>[1]TDSheet!E68</f>
        <v>0</v>
      </c>
      <c r="F67" t="str">
        <f>[1]TDSheet!F68</f>
        <v>185-598-044 25</v>
      </c>
      <c r="G67" t="str">
        <f>[1]TDSheet!G68</f>
        <v>Паспорт гражданина РФ</v>
      </c>
      <c r="H67" t="str">
        <f>[1]TDSheet!H68</f>
        <v>Серия</v>
      </c>
      <c r="I67">
        <f>[1]TDSheet!I68</f>
        <v>4616</v>
      </c>
      <c r="J67" t="str">
        <f>[1]TDSheet!J68</f>
        <v>Номер</v>
      </c>
      <c r="K67">
        <f>[1]TDSheet!K68</f>
        <v>256271</v>
      </c>
      <c r="L67" t="str">
        <f>[1]TDSheet!L68</f>
        <v>Выдан</v>
      </c>
      <c r="M67" t="str">
        <f>TEXT([1]TDSheet!M68,"ДД.ММ.ГГГГ")</f>
        <v>07.07.2016</v>
      </c>
      <c r="N67" t="str">
        <f>[1]TDSheet!N68</f>
        <v>Отделом УФМС России по Московской области по городскому округу Реутов</v>
      </c>
      <c r="O67" t="str">
        <f>[1]TDSheet!O68</f>
        <v>500-010</v>
      </c>
      <c r="P67" t="str">
        <f>[1]TDSheet!P68</f>
        <v>Серия 4616 Номер 256271,Выдан 07.07.2016 Отделом УФМС России по Московской области по городскому округу Реутов</v>
      </c>
      <c r="Q67" t="str">
        <f>[1]TDSheet!Q68</f>
        <v>Московская обл., гор. Реутов Носовихинское шоссе д.15 кв.1</v>
      </c>
      <c r="R67" t="str">
        <f>[1]TDSheet!R68</f>
        <v>Московская обл., гор. Реутов Носовихинское шоссе д.15 кв.1</v>
      </c>
      <c r="S67">
        <f>[1]TDSheet!S68</f>
        <v>0</v>
      </c>
      <c r="T67">
        <f>[1]TDSheet!T68</f>
        <v>0</v>
      </c>
      <c r="U67">
        <f>[1]TDSheet!U68</f>
        <v>0</v>
      </c>
      <c r="V67">
        <f>[1]TDSheet!V68</f>
        <v>0</v>
      </c>
      <c r="W67">
        <f>[1]TDSheet!W68</f>
        <v>0</v>
      </c>
      <c r="X67">
        <f>[1]TDSheet!X68</f>
        <v>0</v>
      </c>
      <c r="Y67">
        <f>[1]TDSheet!Y68</f>
        <v>0</v>
      </c>
      <c r="Z67">
        <f>[1]TDSheet!Z68</f>
        <v>44643</v>
      </c>
      <c r="AA67" t="str">
        <f>[1]TDSheet!AA68</f>
        <v>23/03-26_2022</v>
      </c>
      <c r="AB67">
        <f>[1]TDSheet!AB68</f>
        <v>0</v>
      </c>
      <c r="AC67">
        <f>[1]TDSheet!AC68</f>
        <v>0</v>
      </c>
      <c r="AD67">
        <f>[1]TDSheet!AD68</f>
        <v>0</v>
      </c>
      <c r="AE67">
        <f>[1]TDSheet!AE68</f>
        <v>0</v>
      </c>
      <c r="AF67">
        <f>[1]TDSheet!AF68</f>
        <v>0</v>
      </c>
      <c r="AG67">
        <f>[1]TDSheet!AG68</f>
        <v>0</v>
      </c>
      <c r="AH67">
        <f>[1]TDSheet!AH68</f>
        <v>0</v>
      </c>
      <c r="AI67">
        <f>[1]TDSheet!AI68</f>
        <v>0</v>
      </c>
      <c r="AJ67">
        <f>[1]TDSheet!AJ68</f>
        <v>0</v>
      </c>
      <c r="AK67">
        <f>[1]TDSheet!AK68</f>
        <v>0</v>
      </c>
      <c r="AL67">
        <f>[1]TDSheet!AL68</f>
        <v>0</v>
      </c>
      <c r="AM67">
        <f>[1]TDSheet!AM68</f>
        <v>0</v>
      </c>
      <c r="AN67">
        <f>[1]TDSheet!AN68</f>
        <v>0</v>
      </c>
      <c r="AO67">
        <f>[1]TDSheet!AO68</f>
        <v>0</v>
      </c>
      <c r="AP67">
        <f>[1]TDSheet!AP68</f>
        <v>0</v>
      </c>
      <c r="AQ67">
        <f>[1]TDSheet!AQ68</f>
        <v>0</v>
      </c>
      <c r="AR67">
        <f>[1]TDSheet!AR68</f>
        <v>0</v>
      </c>
      <c r="AS67">
        <f>[1]TDSheet!AS68</f>
        <v>0</v>
      </c>
      <c r="AT67">
        <f>[1]TDSheet!AT68</f>
        <v>0</v>
      </c>
      <c r="AU67">
        <f>[1]TDSheet!AU68</f>
        <v>0</v>
      </c>
      <c r="AV67">
        <f>[1]TDSheet!AV68</f>
        <v>0</v>
      </c>
      <c r="AW67">
        <f>[1]TDSheet!AW68</f>
        <v>0</v>
      </c>
      <c r="AX67">
        <f>[1]TDSheet!AX68</f>
        <v>0</v>
      </c>
      <c r="AY67">
        <f>[1]TDSheet!AY68</f>
        <v>0</v>
      </c>
      <c r="AZ67">
        <f>[1]TDSheet!AZ68</f>
        <v>0</v>
      </c>
      <c r="BA67">
        <f>[1]TDSheet!BA68</f>
        <v>0</v>
      </c>
      <c r="BB67">
        <f>[1]TDSheet!BB68</f>
        <v>0</v>
      </c>
      <c r="BC67" t="str">
        <f>[1]TDSheet!BC68</f>
        <v>40817810240013477013</v>
      </c>
      <c r="BD67" t="str">
        <f>[1]TDSheet!BD68</f>
        <v>ПАО СБЕРБАНК</v>
      </c>
      <c r="BE67" t="str">
        <f>[1]TDSheet!BE68</f>
        <v>044525225</v>
      </c>
    </row>
    <row r="68" spans="1:57" x14ac:dyDescent="0.25">
      <c r="A68" t="str">
        <f>[1]TDSheet!A69</f>
        <v>Кострикин Юрий Владимирович</v>
      </c>
      <c r="B68" t="str">
        <f>[1]TDSheet!B69</f>
        <v>Инженер ПТО</v>
      </c>
      <c r="C68" t="str">
        <f>TEXT([1]TDSheet!C69,"ДД.ММ.ГГГГ")</f>
        <v>15.02.2002</v>
      </c>
      <c r="D68" t="str">
        <f>[1]TDSheet!D69</f>
        <v>РОССИЯ</v>
      </c>
      <c r="E68">
        <f>[1]TDSheet!E69</f>
        <v>0</v>
      </c>
      <c r="F68">
        <f>[1]TDSheet!F69</f>
        <v>0</v>
      </c>
      <c r="G68" t="str">
        <f>[1]TDSheet!G69</f>
        <v>Паспорт гражданина РФ</v>
      </c>
      <c r="H68" t="str">
        <f>[1]TDSheet!H69</f>
        <v>Серия</v>
      </c>
      <c r="I68">
        <f>[1]TDSheet!I69</f>
        <v>4515</v>
      </c>
      <c r="J68" t="str">
        <f>[1]TDSheet!J69</f>
        <v>Номер</v>
      </c>
      <c r="K68">
        <f>[1]TDSheet!K69</f>
        <v>517427</v>
      </c>
      <c r="L68" t="str">
        <f>[1]TDSheet!L69</f>
        <v>Выдан</v>
      </c>
      <c r="M68" t="str">
        <f>TEXT([1]TDSheet!M69,"ДД.ММ.ГГГГ")</f>
        <v>10.03.2016</v>
      </c>
      <c r="N68" t="str">
        <f>[1]TDSheet!N69</f>
        <v>Отделом УФМС России по гор. Москве по району Ясенево</v>
      </c>
      <c r="O68" t="str">
        <f>[1]TDSheet!O69</f>
        <v>770-125</v>
      </c>
      <c r="P68" t="str">
        <f>[1]TDSheet!P69</f>
        <v>Серия 4515 Номер 517427,Выдан 10.03.2016 Отделом УФМС России по гор. Москве по району Ясенево</v>
      </c>
      <c r="Q68" t="str">
        <f>[1]TDSheet!Q69</f>
        <v>гор. Москва б-р Литовский д.30 кв.226</v>
      </c>
      <c r="R68" t="str">
        <f>[1]TDSheet!R69</f>
        <v>гор. Москва б-р Литовский д.30 кв.227</v>
      </c>
      <c r="S68">
        <f>[1]TDSheet!S69</f>
        <v>0</v>
      </c>
      <c r="T68">
        <f>[1]TDSheet!T69</f>
        <v>0</v>
      </c>
      <c r="U68">
        <f>[1]TDSheet!U69</f>
        <v>0</v>
      </c>
      <c r="V68">
        <f>[1]TDSheet!V69</f>
        <v>0</v>
      </c>
      <c r="W68">
        <f>[1]TDSheet!W69</f>
        <v>0</v>
      </c>
      <c r="X68">
        <f>[1]TDSheet!X69</f>
        <v>0</v>
      </c>
      <c r="Y68">
        <f>[1]TDSheet!Y69</f>
        <v>0</v>
      </c>
      <c r="Z68">
        <f>[1]TDSheet!Z69</f>
        <v>44643</v>
      </c>
      <c r="AA68" t="str">
        <f>[1]TDSheet!AA69</f>
        <v>23/03-27_2022</v>
      </c>
      <c r="AB68">
        <f>[1]TDSheet!AB69</f>
        <v>0</v>
      </c>
      <c r="AC68">
        <f>[1]TDSheet!AC69</f>
        <v>0</v>
      </c>
      <c r="AD68">
        <f>[1]TDSheet!AD69</f>
        <v>0</v>
      </c>
      <c r="AE68">
        <f>[1]TDSheet!AE69</f>
        <v>0</v>
      </c>
      <c r="AF68">
        <f>[1]TDSheet!AF69</f>
        <v>0</v>
      </c>
      <c r="AG68">
        <f>[1]TDSheet!AG69</f>
        <v>0</v>
      </c>
      <c r="AH68">
        <f>[1]TDSheet!AH69</f>
        <v>0</v>
      </c>
      <c r="AI68">
        <f>[1]TDSheet!AI69</f>
        <v>0</v>
      </c>
      <c r="AJ68">
        <f>[1]TDSheet!AJ69</f>
        <v>0</v>
      </c>
      <c r="AK68">
        <f>[1]TDSheet!AK69</f>
        <v>0</v>
      </c>
      <c r="AL68">
        <f>[1]TDSheet!AL69</f>
        <v>0</v>
      </c>
      <c r="AM68">
        <f>[1]TDSheet!AM69</f>
        <v>0</v>
      </c>
      <c r="AN68">
        <f>[1]TDSheet!AN69</f>
        <v>0</v>
      </c>
      <c r="AO68">
        <f>[1]TDSheet!AO69</f>
        <v>0</v>
      </c>
      <c r="AP68">
        <f>[1]TDSheet!AP69</f>
        <v>0</v>
      </c>
      <c r="AQ68">
        <f>[1]TDSheet!AQ69</f>
        <v>0</v>
      </c>
      <c r="AR68">
        <f>[1]TDSheet!AR69</f>
        <v>0</v>
      </c>
      <c r="AS68">
        <f>[1]TDSheet!AS69</f>
        <v>0</v>
      </c>
      <c r="AT68">
        <f>[1]TDSheet!AT69</f>
        <v>0</v>
      </c>
      <c r="AU68">
        <f>[1]TDSheet!AU69</f>
        <v>0</v>
      </c>
      <c r="AV68">
        <f>[1]TDSheet!AV69</f>
        <v>0</v>
      </c>
      <c r="AW68">
        <f>[1]TDSheet!AW69</f>
        <v>0</v>
      </c>
      <c r="AX68">
        <f>[1]TDSheet!AX69</f>
        <v>0</v>
      </c>
      <c r="AY68">
        <f>[1]TDSheet!AY69</f>
        <v>0</v>
      </c>
      <c r="AZ68">
        <f>[1]TDSheet!AZ69</f>
        <v>0</v>
      </c>
      <c r="BA68">
        <f>[1]TDSheet!BA69</f>
        <v>0</v>
      </c>
      <c r="BB68">
        <f>[1]TDSheet!BB69</f>
        <v>0</v>
      </c>
      <c r="BC68">
        <f>[1]TDSheet!BC69</f>
        <v>0</v>
      </c>
      <c r="BD68">
        <f>[1]TDSheet!BD69</f>
        <v>0</v>
      </c>
      <c r="BE68">
        <f>[1]TDSheet!BE69</f>
        <v>0</v>
      </c>
    </row>
    <row r="69" spans="1:57" x14ac:dyDescent="0.25">
      <c r="A69" t="str">
        <f>[1]TDSheet!A70</f>
        <v>Киселева Мария Алексеевна</v>
      </c>
      <c r="B69" t="str">
        <f>[1]TDSheet!B70</f>
        <v>Помощник директора</v>
      </c>
      <c r="C69" t="str">
        <f>TEXT([1]TDSheet!C70,"ДД.ММ.ГГГГ")</f>
        <v>06.09.1999</v>
      </c>
      <c r="D69" t="str">
        <f>[1]TDSheet!D70</f>
        <v>РОССИЯ</v>
      </c>
      <c r="E69" t="str">
        <f>[1]TDSheet!E70</f>
        <v xml:space="preserve">503233608601 </v>
      </c>
      <c r="F69" t="str">
        <f>[1]TDSheet!F70</f>
        <v>179-189-559 42</v>
      </c>
      <c r="G69" t="str">
        <f>[1]TDSheet!G70</f>
        <v>Паспорт гражданина РФ</v>
      </c>
      <c r="H69" t="str">
        <f>[1]TDSheet!H70</f>
        <v>Серия</v>
      </c>
      <c r="I69">
        <f>[1]TDSheet!I70</f>
        <v>4619</v>
      </c>
      <c r="J69" t="str">
        <f>[1]TDSheet!J70</f>
        <v>Номер</v>
      </c>
      <c r="K69">
        <f>[1]TDSheet!K70</f>
        <v>547562</v>
      </c>
      <c r="L69" t="str">
        <f>[1]TDSheet!L70</f>
        <v>Выдан</v>
      </c>
      <c r="M69" t="str">
        <f>TEXT([1]TDSheet!M70,"ДД.ММ.ГГГГ")</f>
        <v>20.09.2019</v>
      </c>
      <c r="N69" t="str">
        <f>[1]TDSheet!N70</f>
        <v>ГУ МВД России по Московской области</v>
      </c>
      <c r="O69">
        <f>[1]TDSheet!O70</f>
        <v>0</v>
      </c>
      <c r="P69" t="str">
        <f>[1]TDSheet!P70</f>
        <v>Серия 4619 Номер 547562,Выдан 20.09.2019 ГУ МВД России по Московской области</v>
      </c>
      <c r="Q69" t="str">
        <f>[1]TDSheet!Q70</f>
        <v>:г.Одинцово ул. Рябиновая 7 корпус 1 кв 167</v>
      </c>
      <c r="R69" t="str">
        <f>[1]TDSheet!R70</f>
        <v>:г.Одинцово ул. Рябиновая 7 корпус 1 кв 167</v>
      </c>
      <c r="S69">
        <f>[1]TDSheet!S70</f>
        <v>0</v>
      </c>
      <c r="T69">
        <f>[1]TDSheet!T70</f>
        <v>0</v>
      </c>
      <c r="U69">
        <f>[1]TDSheet!U70</f>
        <v>0</v>
      </c>
      <c r="V69">
        <f>[1]TDSheet!V70</f>
        <v>0</v>
      </c>
      <c r="W69">
        <f>[1]TDSheet!W70</f>
        <v>0</v>
      </c>
      <c r="X69">
        <f>[1]TDSheet!X70</f>
        <v>0</v>
      </c>
      <c r="Y69">
        <f>[1]TDSheet!Y70</f>
        <v>0</v>
      </c>
      <c r="Z69">
        <f>[1]TDSheet!Z70</f>
        <v>0</v>
      </c>
      <c r="AA69">
        <f>[1]TDSheet!AA70</f>
        <v>0</v>
      </c>
      <c r="AB69">
        <f>[1]TDSheet!AB70</f>
        <v>0</v>
      </c>
      <c r="AC69">
        <f>[1]TDSheet!AC70</f>
        <v>0</v>
      </c>
      <c r="AD69">
        <f>[1]TDSheet!AD70</f>
        <v>0</v>
      </c>
      <c r="AE69">
        <f>[1]TDSheet!AE70</f>
        <v>0</v>
      </c>
      <c r="AF69">
        <f>[1]TDSheet!AF70</f>
        <v>0</v>
      </c>
      <c r="AG69">
        <f>[1]TDSheet!AG70</f>
        <v>0</v>
      </c>
      <c r="AH69">
        <f>[1]TDSheet!AH70</f>
        <v>0</v>
      </c>
      <c r="AI69">
        <f>[1]TDSheet!AI70</f>
        <v>0</v>
      </c>
      <c r="AJ69">
        <f>[1]TDSheet!AJ70</f>
        <v>0</v>
      </c>
      <c r="AK69">
        <f>[1]TDSheet!AK70</f>
        <v>0</v>
      </c>
      <c r="AL69">
        <f>[1]TDSheet!AL70</f>
        <v>0</v>
      </c>
      <c r="AM69">
        <f>[1]TDSheet!AM70</f>
        <v>0</v>
      </c>
      <c r="AN69">
        <f>[1]TDSheet!AN70</f>
        <v>0</v>
      </c>
      <c r="AO69">
        <f>[1]TDSheet!AO70</f>
        <v>0</v>
      </c>
      <c r="AP69">
        <f>[1]TDSheet!AP70</f>
        <v>0</v>
      </c>
      <c r="AQ69">
        <f>[1]TDSheet!AQ70</f>
        <v>0</v>
      </c>
      <c r="AR69">
        <f>[1]TDSheet!AR70</f>
        <v>0</v>
      </c>
      <c r="AS69">
        <f>[1]TDSheet!AS70</f>
        <v>0</v>
      </c>
      <c r="AT69">
        <f>[1]TDSheet!AT70</f>
        <v>0</v>
      </c>
      <c r="AU69">
        <f>[1]TDSheet!AU70</f>
        <v>0</v>
      </c>
      <c r="AV69">
        <f>[1]TDSheet!AV70</f>
        <v>0</v>
      </c>
      <c r="AW69">
        <f>[1]TDSheet!AW70</f>
        <v>0</v>
      </c>
      <c r="AX69">
        <f>[1]TDSheet!AX70</f>
        <v>0</v>
      </c>
      <c r="AY69">
        <f>[1]TDSheet!AY70</f>
        <v>0</v>
      </c>
      <c r="AZ69">
        <f>[1]TDSheet!AZ70</f>
        <v>0</v>
      </c>
      <c r="BA69">
        <f>[1]TDSheet!BA70</f>
        <v>0</v>
      </c>
      <c r="BB69">
        <f>[1]TDSheet!BB70</f>
        <v>0</v>
      </c>
      <c r="BC69" t="str">
        <f>[1]TDSheet!BC70</f>
        <v>40817810240100794764</v>
      </c>
      <c r="BD69" t="str">
        <f>[1]TDSheet!BD70</f>
        <v>ПАО СБЕРБАНК</v>
      </c>
      <c r="BE69" t="str">
        <f>[1]TDSheet!BE70</f>
        <v>044525225</v>
      </c>
    </row>
    <row r="70" spans="1:57" x14ac:dyDescent="0.25">
      <c r="A70" t="str">
        <f>[1]TDSheet!A71</f>
        <v>Фаёзов Кобилчон Комилчонович</v>
      </c>
      <c r="B70" t="str">
        <f>[1]TDSheet!B71</f>
        <v>Подсобный рабочий</v>
      </c>
      <c r="C70" t="str">
        <f>TEXT([1]TDSheet!C71,"ДД.ММ.ГГГГ")</f>
        <v>28.08.1999</v>
      </c>
      <c r="D70" t="str">
        <f>[1]TDSheet!D71</f>
        <v>ТАДЖИКИСТАН</v>
      </c>
      <c r="E70" t="str">
        <f>[1]TDSheet!E71</f>
        <v>165066407573</v>
      </c>
      <c r="F70" t="str">
        <f>[1]TDSheet!F71</f>
        <v>215-625-180 45</v>
      </c>
      <c r="G70" t="str">
        <f>[1]TDSheet!G71</f>
        <v>Иностранный паспорт</v>
      </c>
      <c r="H70" t="str">
        <f>[1]TDSheet!H71</f>
        <v>Серия</v>
      </c>
      <c r="I70">
        <f>[1]TDSheet!I71</f>
        <v>0</v>
      </c>
      <c r="J70" t="str">
        <f>[1]TDSheet!J71</f>
        <v>Номер</v>
      </c>
      <c r="K70">
        <f>[1]TDSheet!K71</f>
        <v>401589542</v>
      </c>
      <c r="L70" t="str">
        <f>[1]TDSheet!L71</f>
        <v>Выдан</v>
      </c>
      <c r="M70" t="str">
        <f>TEXT([1]TDSheet!M71,"ДД.ММ.ГГГГ")</f>
        <v>04.07.2017</v>
      </c>
      <c r="N70" t="str">
        <f>[1]TDSheet!N71</f>
        <v>ХШБ дар Шахритуз</v>
      </c>
      <c r="O70">
        <f>[1]TDSheet!O71</f>
        <v>0</v>
      </c>
      <c r="P70" t="str">
        <f>[1]TDSheet!P71</f>
        <v>Серия  Номер 401589542,Выдан 04.07.2017 ХШБ дар Шахритуз</v>
      </c>
      <c r="Q70" t="str">
        <f>[1]TDSheet!Q71</f>
        <v>г.Москва ул. Архитектора Власова д.6</v>
      </c>
      <c r="R70" t="str">
        <f>[1]TDSheet!R71</f>
        <v>г.Москва ул. Архитектора Власова д.6</v>
      </c>
      <c r="S70" t="str">
        <f>[1]TDSheet!S71</f>
        <v>Патент: серия 77 № 2201425550  от 01.04.2022 Отдел внешней трудовой миграции УВМ ГУ МВД России по г. Москве</v>
      </c>
      <c r="T70">
        <f>[1]TDSheet!T71</f>
        <v>0</v>
      </c>
      <c r="U70">
        <f>[1]TDSheet!U71</f>
        <v>169</v>
      </c>
      <c r="V70">
        <f>[1]TDSheet!V71</f>
        <v>52</v>
      </c>
      <c r="W70">
        <f>[1]TDSheet!W71</f>
        <v>42</v>
      </c>
      <c r="X70">
        <f>[1]TDSheet!X71</f>
        <v>0</v>
      </c>
      <c r="Y70">
        <f>[1]TDSheet!Y71</f>
        <v>0</v>
      </c>
      <c r="Z70">
        <f>[1]TDSheet!Z71</f>
        <v>44669</v>
      </c>
      <c r="AA70" t="str">
        <f>[1]TDSheet!AA71</f>
        <v>18/04-46_2022</v>
      </c>
      <c r="AB70">
        <f>[1]TDSheet!AB71</f>
        <v>0</v>
      </c>
      <c r="AC70">
        <f>[1]TDSheet!AC71</f>
        <v>0</v>
      </c>
      <c r="AD70">
        <f>[1]TDSheet!AD71</f>
        <v>0</v>
      </c>
      <c r="AE70">
        <f>[1]TDSheet!AE71</f>
        <v>0</v>
      </c>
      <c r="AF70">
        <f>[1]TDSheet!AF71</f>
        <v>0</v>
      </c>
      <c r="AG70">
        <f>[1]TDSheet!AG71</f>
        <v>0</v>
      </c>
      <c r="AH70">
        <f>[1]TDSheet!AH71</f>
        <v>0</v>
      </c>
      <c r="AI70">
        <f>[1]TDSheet!AI71</f>
        <v>0</v>
      </c>
      <c r="AJ70">
        <f>[1]TDSheet!AJ71</f>
        <v>0</v>
      </c>
      <c r="AK70">
        <f>[1]TDSheet!AK71</f>
        <v>0</v>
      </c>
      <c r="AL70">
        <f>[1]TDSheet!AL71</f>
        <v>0</v>
      </c>
      <c r="AM70">
        <f>[1]TDSheet!AM71</f>
        <v>0</v>
      </c>
      <c r="AN70">
        <f>[1]TDSheet!AN71</f>
        <v>0</v>
      </c>
      <c r="AO70">
        <f>[1]TDSheet!AO71</f>
        <v>0</v>
      </c>
      <c r="AP70">
        <f>[1]TDSheet!AP71</f>
        <v>0</v>
      </c>
      <c r="AQ70">
        <f>[1]TDSheet!AQ71</f>
        <v>0</v>
      </c>
      <c r="AR70">
        <f>[1]TDSheet!AR71</f>
        <v>0</v>
      </c>
      <c r="AS70">
        <f>[1]TDSheet!AS71</f>
        <v>0</v>
      </c>
      <c r="AT70">
        <f>[1]TDSheet!AT71</f>
        <v>0</v>
      </c>
      <c r="AU70">
        <f>[1]TDSheet!AU71</f>
        <v>0</v>
      </c>
      <c r="AV70">
        <f>[1]TDSheet!AV71</f>
        <v>0</v>
      </c>
      <c r="AW70">
        <f>[1]TDSheet!AW71</f>
        <v>0</v>
      </c>
      <c r="AX70">
        <f>[1]TDSheet!AX71</f>
        <v>0</v>
      </c>
      <c r="AY70">
        <f>[1]TDSheet!AY71</f>
        <v>0</v>
      </c>
      <c r="AZ70">
        <f>[1]TDSheet!AZ71</f>
        <v>0</v>
      </c>
      <c r="BA70">
        <f>[1]TDSheet!BA71</f>
        <v>0</v>
      </c>
      <c r="BB70">
        <f>[1]TDSheet!BB71</f>
        <v>0</v>
      </c>
      <c r="BC70" t="str">
        <f>[1]TDSheet!BC71</f>
        <v>40820810238186304892</v>
      </c>
      <c r="BD70" t="str">
        <f>[1]TDSheet!BD71</f>
        <v>ПАО СБЕРБАНК</v>
      </c>
      <c r="BE70" t="str">
        <f>[1]TDSheet!BE71</f>
        <v>044525225</v>
      </c>
    </row>
    <row r="71" spans="1:57" x14ac:dyDescent="0.25">
      <c r="A71" t="str">
        <f>[1]TDSheet!A72</f>
        <v>Матжанов Тазабай Шарибаевич</v>
      </c>
      <c r="B71" t="str">
        <f>[1]TDSheet!B72</f>
        <v>Подсобный рабочий</v>
      </c>
      <c r="C71" t="str">
        <f>TEXT([1]TDSheet!C72,"ДД.ММ.ГГГГ")</f>
        <v>16.09.1966</v>
      </c>
      <c r="D71" t="str">
        <f>[1]TDSheet!D72</f>
        <v>УЗБЕКИСТАН</v>
      </c>
      <c r="E71" t="str">
        <f>[1]TDSheet!E72</f>
        <v>772099850756</v>
      </c>
      <c r="F71" t="str">
        <f>[1]TDSheet!F72</f>
        <v>214-257-489 55</v>
      </c>
      <c r="G71" t="str">
        <f>[1]TDSheet!G72</f>
        <v>Иностранный паспорт</v>
      </c>
      <c r="H71" t="str">
        <f>[1]TDSheet!H72</f>
        <v>Серия</v>
      </c>
      <c r="I71" t="str">
        <f>[1]TDSheet!I72</f>
        <v>FK</v>
      </c>
      <c r="J71" t="str">
        <f>[1]TDSheet!J72</f>
        <v>Номер</v>
      </c>
      <c r="K71" t="str">
        <f>[1]TDSheet!K72</f>
        <v>0076974</v>
      </c>
      <c r="L71" t="str">
        <f>[1]TDSheet!L72</f>
        <v>Выдан</v>
      </c>
      <c r="M71" t="str">
        <f>TEXT([1]TDSheet!M72,"ДД.ММ.ГГГГ")</f>
        <v>23.01.2021</v>
      </c>
      <c r="N71" t="str">
        <f>[1]TDSheet!N72</f>
        <v>MIA 35218</v>
      </c>
      <c r="O71">
        <f>[1]TDSheet!O72</f>
        <v>0</v>
      </c>
      <c r="P71" t="str">
        <f>[1]TDSheet!P72</f>
        <v>Серия FK Номер 0076974,Выдан 23.01.2021 MIA 35218</v>
      </c>
      <c r="Q71" t="str">
        <f>[1]TDSheet!Q72</f>
        <v>г. Москва Бутово ул. Брусилова д.41</v>
      </c>
      <c r="R71" t="str">
        <f>[1]TDSheet!R72</f>
        <v>г. Москва Бутово ул. Брусилова д.41</v>
      </c>
      <c r="S71" t="str">
        <f>[1]TDSheet!S72</f>
        <v>Патент: серия 77 № 2106256944  от 13.12.2021 Отдел внешней трудовой миграции УВМ ГУ МВД России по г. Москве</v>
      </c>
      <c r="T71">
        <f>[1]TDSheet!T72</f>
        <v>0</v>
      </c>
      <c r="U71">
        <f>[1]TDSheet!U72</f>
        <v>175</v>
      </c>
      <c r="V71">
        <f>[1]TDSheet!V72</f>
        <v>50</v>
      </c>
      <c r="W71">
        <f>[1]TDSheet!W72</f>
        <v>43</v>
      </c>
      <c r="X71">
        <f>[1]TDSheet!X72</f>
        <v>0</v>
      </c>
      <c r="Y71">
        <f>[1]TDSheet!Y72</f>
        <v>0</v>
      </c>
      <c r="Z71">
        <f>[1]TDSheet!Z72</f>
        <v>44671</v>
      </c>
      <c r="AA71" t="str">
        <f>[1]TDSheet!AA72</f>
        <v>20/04-47_2022</v>
      </c>
      <c r="AB71">
        <f>[1]TDSheet!AB72</f>
        <v>0</v>
      </c>
      <c r="AC71">
        <f>[1]TDSheet!AC72</f>
        <v>0</v>
      </c>
      <c r="AD71">
        <f>[1]TDSheet!AD72</f>
        <v>0</v>
      </c>
      <c r="AE71">
        <f>[1]TDSheet!AE72</f>
        <v>0</v>
      </c>
      <c r="AF71">
        <f>[1]TDSheet!AF72</f>
        <v>0</v>
      </c>
      <c r="AG71">
        <f>[1]TDSheet!AG72</f>
        <v>0</v>
      </c>
      <c r="AH71">
        <f>[1]TDSheet!AH72</f>
        <v>0</v>
      </c>
      <c r="AI71">
        <f>[1]TDSheet!AI72</f>
        <v>0</v>
      </c>
      <c r="AJ71">
        <f>[1]TDSheet!AJ72</f>
        <v>0</v>
      </c>
      <c r="AK71">
        <f>[1]TDSheet!AK72</f>
        <v>0</v>
      </c>
      <c r="AL71">
        <f>[1]TDSheet!AL72</f>
        <v>0</v>
      </c>
      <c r="AM71">
        <f>[1]TDSheet!AM72</f>
        <v>0</v>
      </c>
      <c r="AN71">
        <f>[1]TDSheet!AN72</f>
        <v>0</v>
      </c>
      <c r="AO71">
        <f>[1]TDSheet!AO72</f>
        <v>0</v>
      </c>
      <c r="AP71">
        <f>[1]TDSheet!AP72</f>
        <v>0</v>
      </c>
      <c r="AQ71">
        <f>[1]TDSheet!AQ72</f>
        <v>0</v>
      </c>
      <c r="AR71">
        <f>[1]TDSheet!AR72</f>
        <v>0</v>
      </c>
      <c r="AS71">
        <f>[1]TDSheet!AS72</f>
        <v>0</v>
      </c>
      <c r="AT71">
        <f>[1]TDSheet!AT72</f>
        <v>0</v>
      </c>
      <c r="AU71">
        <f>[1]TDSheet!AU72</f>
        <v>0</v>
      </c>
      <c r="AV71">
        <f>[1]TDSheet!AV72</f>
        <v>0</v>
      </c>
      <c r="AW71">
        <f>[1]TDSheet!AW72</f>
        <v>0</v>
      </c>
      <c r="AX71">
        <f>[1]TDSheet!AX72</f>
        <v>0</v>
      </c>
      <c r="AY71">
        <f>[1]TDSheet!AY72</f>
        <v>0</v>
      </c>
      <c r="AZ71">
        <f>[1]TDSheet!AZ72</f>
        <v>0</v>
      </c>
      <c r="BA71">
        <f>[1]TDSheet!BA72</f>
        <v>0</v>
      </c>
      <c r="BB71">
        <f>[1]TDSheet!BB72</f>
        <v>0</v>
      </c>
      <c r="BC71" t="str">
        <f>[1]TDSheet!BC72</f>
        <v>40820810538123714899</v>
      </c>
      <c r="BD71" t="str">
        <f>[1]TDSheet!BD72</f>
        <v>ПАО СБЕРБАНК</v>
      </c>
      <c r="BE71" t="str">
        <f>[1]TDSheet!BE72</f>
        <v>044525225</v>
      </c>
    </row>
    <row r="72" spans="1:57" x14ac:dyDescent="0.25">
      <c r="A72" t="str">
        <f>[1]TDSheet!A73</f>
        <v>Лакаев Махмадсобир Махмадшарифович</v>
      </c>
      <c r="B72" t="str">
        <f>[1]TDSheet!B73</f>
        <v>Подсобный рабочий</v>
      </c>
      <c r="C72" t="str">
        <f>TEXT([1]TDSheet!C73,"ДД.ММ.ГГГГ")</f>
        <v>03.09.1988</v>
      </c>
      <c r="D72" t="str">
        <f>[1]TDSheet!D73</f>
        <v>ТАДЖИКИСТАН</v>
      </c>
      <c r="E72" t="str">
        <f>[1]TDSheet!E73</f>
        <v>531007231918</v>
      </c>
      <c r="F72">
        <f>[1]TDSheet!F73</f>
        <v>0</v>
      </c>
      <c r="G72" t="str">
        <f>[1]TDSheet!G73</f>
        <v>Иностранный паспорт</v>
      </c>
      <c r="H72" t="str">
        <f>[1]TDSheet!H73</f>
        <v>Серия</v>
      </c>
      <c r="I72">
        <f>[1]TDSheet!I73</f>
        <v>0</v>
      </c>
      <c r="J72" t="str">
        <f>[1]TDSheet!J73</f>
        <v>Номер</v>
      </c>
      <c r="K72">
        <f>[1]TDSheet!K73</f>
        <v>400355244</v>
      </c>
      <c r="L72" t="str">
        <f>[1]TDSheet!L73</f>
        <v>Выдан</v>
      </c>
      <c r="M72" t="str">
        <f>TEXT([1]TDSheet!M73,"ДД.ММ.ГГГГ")</f>
        <v>21.11.2014</v>
      </c>
      <c r="N72" t="str">
        <f>[1]TDSheet!N73</f>
        <v>ХШБ дар Кулоб</v>
      </c>
      <c r="O72">
        <f>[1]TDSheet!O73</f>
        <v>0</v>
      </c>
      <c r="P72" t="str">
        <f>[1]TDSheet!P73</f>
        <v>Серия  Номер 400355244,Выдан 21.11.2014 ХШБ дар Кулоб</v>
      </c>
      <c r="Q72" t="str">
        <f>[1]TDSheet!Q73</f>
        <v>г.Москва, Силикатный проезд 19/2 стр 28 комната 302</v>
      </c>
      <c r="R72" t="str">
        <f>[1]TDSheet!R73</f>
        <v>г.Москва, Силикатный проезд 19/2 стр 28 комната 302</v>
      </c>
      <c r="S72" t="str">
        <f>[1]TDSheet!S73</f>
        <v>Патент: серия 77 № 2106076099 от 02.12.2021 Отдел внешней трудовой миграции УВМ ГУ МВД России по г. Москве</v>
      </c>
      <c r="T72">
        <f>[1]TDSheet!T73</f>
        <v>0</v>
      </c>
      <c r="U72">
        <f>[1]TDSheet!U73</f>
        <v>170</v>
      </c>
      <c r="V72">
        <f>[1]TDSheet!V73</f>
        <v>48</v>
      </c>
      <c r="W72">
        <f>[1]TDSheet!W73</f>
        <v>41</v>
      </c>
      <c r="X72">
        <f>[1]TDSheet!X73</f>
        <v>0</v>
      </c>
      <c r="Y72">
        <f>[1]TDSheet!Y73</f>
        <v>0</v>
      </c>
      <c r="Z72">
        <f>[1]TDSheet!Z73</f>
        <v>44672</v>
      </c>
      <c r="AA72" t="str">
        <f>[1]TDSheet!AA73</f>
        <v>21/04-48_2022</v>
      </c>
      <c r="AB72">
        <f>[1]TDSheet!AB73</f>
        <v>0</v>
      </c>
      <c r="AC72">
        <f>[1]TDSheet!AC73</f>
        <v>0</v>
      </c>
      <c r="AD72">
        <f>[1]TDSheet!AD73</f>
        <v>0</v>
      </c>
      <c r="AE72">
        <f>[1]TDSheet!AE73</f>
        <v>0</v>
      </c>
      <c r="AF72">
        <f>[1]TDSheet!AF73</f>
        <v>0</v>
      </c>
      <c r="AG72">
        <f>[1]TDSheet!AG73</f>
        <v>0</v>
      </c>
      <c r="AH72">
        <f>[1]TDSheet!AH73</f>
        <v>0</v>
      </c>
      <c r="AI72">
        <f>[1]TDSheet!AI73</f>
        <v>0</v>
      </c>
      <c r="AJ72">
        <f>[1]TDSheet!AJ73</f>
        <v>0</v>
      </c>
      <c r="AK72">
        <f>[1]TDSheet!AK73</f>
        <v>0</v>
      </c>
      <c r="AL72">
        <f>[1]TDSheet!AL73</f>
        <v>0</v>
      </c>
      <c r="AM72">
        <f>[1]TDSheet!AM73</f>
        <v>0</v>
      </c>
      <c r="AN72">
        <f>[1]TDSheet!AN73</f>
        <v>0</v>
      </c>
      <c r="AO72">
        <f>[1]TDSheet!AO73</f>
        <v>0</v>
      </c>
      <c r="AP72">
        <f>[1]TDSheet!AP73</f>
        <v>0</v>
      </c>
      <c r="AQ72">
        <f>[1]TDSheet!AQ73</f>
        <v>0</v>
      </c>
      <c r="AR72">
        <f>[1]TDSheet!AR73</f>
        <v>0</v>
      </c>
      <c r="AS72">
        <f>[1]TDSheet!AS73</f>
        <v>0</v>
      </c>
      <c r="AT72">
        <f>[1]TDSheet!AT73</f>
        <v>0</v>
      </c>
      <c r="AU72">
        <f>[1]TDSheet!AU73</f>
        <v>0</v>
      </c>
      <c r="AV72">
        <f>[1]TDSheet!AV73</f>
        <v>0</v>
      </c>
      <c r="AW72">
        <f>[1]TDSheet!AW73</f>
        <v>0</v>
      </c>
      <c r="AX72">
        <f>[1]TDSheet!AX73</f>
        <v>0</v>
      </c>
      <c r="AY72">
        <f>[1]TDSheet!AY73</f>
        <v>0</v>
      </c>
      <c r="AZ72">
        <f>[1]TDSheet!AZ73</f>
        <v>0</v>
      </c>
      <c r="BA72">
        <f>[1]TDSheet!BA73</f>
        <v>0</v>
      </c>
      <c r="BB72">
        <f>[1]TDSheet!BB73</f>
        <v>0</v>
      </c>
      <c r="BC72" t="str">
        <f>[1]TDSheet!BC73</f>
        <v>40817810143860263256</v>
      </c>
      <c r="BD72">
        <f>[1]TDSheet!BD73</f>
        <v>0</v>
      </c>
      <c r="BE72">
        <f>[1]TDSheet!BE73</f>
        <v>0</v>
      </c>
    </row>
    <row r="73" spans="1:57" x14ac:dyDescent="0.25">
      <c r="A73" t="str">
        <f>[1]TDSheet!A74</f>
        <v>Курбонов Айниддин Абдулвосеъович</v>
      </c>
      <c r="B73" t="str">
        <f>[1]TDSheet!B74</f>
        <v>Подсобный рабочий</v>
      </c>
      <c r="C73" t="str">
        <f>TEXT([1]TDSheet!C74,"ДД.ММ.ГГГГ")</f>
        <v>27.10.1996</v>
      </c>
      <c r="D73" t="str">
        <f>[1]TDSheet!D74</f>
        <v>ТАДЖИКИСТАН</v>
      </c>
      <c r="E73" t="str">
        <f>[1]TDSheet!E74</f>
        <v>781447836809</v>
      </c>
      <c r="F73">
        <f>[1]TDSheet!F74</f>
        <v>0</v>
      </c>
      <c r="G73" t="str">
        <f>[1]TDSheet!G74</f>
        <v>Иностранный паспорт</v>
      </c>
      <c r="H73" t="str">
        <f>[1]TDSheet!H74</f>
        <v>Серия</v>
      </c>
      <c r="I73">
        <f>[1]TDSheet!I74</f>
        <v>0</v>
      </c>
      <c r="J73" t="str">
        <f>[1]TDSheet!J74</f>
        <v>Номер</v>
      </c>
      <c r="K73">
        <f>[1]TDSheet!K74</f>
        <v>400686205</v>
      </c>
      <c r="L73" t="str">
        <f>[1]TDSheet!L74</f>
        <v>Выдан</v>
      </c>
      <c r="M73" t="str">
        <f>TEXT([1]TDSheet!M74,"ДД.ММ.ГГГГ")</f>
        <v>09.06.2015</v>
      </c>
      <c r="N73" t="str">
        <f>[1]TDSheet!N74</f>
        <v>MIA  Таджикистан</v>
      </c>
      <c r="O73">
        <f>[1]TDSheet!O74</f>
        <v>0</v>
      </c>
      <c r="P73" t="str">
        <f>[1]TDSheet!P74</f>
        <v>Серия  Номер 400686205,Выдан 09.06.2015 MIA  Таджикистан</v>
      </c>
      <c r="Q73" t="str">
        <f>[1]TDSheet!Q74</f>
        <v>г.Москва, Силикатный проезд 19/2 стр 28 комната 301</v>
      </c>
      <c r="R73" t="str">
        <f>[1]TDSheet!R74</f>
        <v>г.Москва, Силикатный проезд 19/2 стр 28 комната 301</v>
      </c>
      <c r="S73" t="str">
        <f>[1]TDSheet!S74</f>
        <v>Патент: серия 77 № 2106075899 от 02.12.2021 Отдел внешней трудовой миграции УВМ ГУ МВД России по г. Москве</v>
      </c>
      <c r="T73">
        <f>[1]TDSheet!T74</f>
        <v>0</v>
      </c>
      <c r="U73">
        <f>[1]TDSheet!U74</f>
        <v>173</v>
      </c>
      <c r="V73" t="str">
        <f>[1]TDSheet!V74</f>
        <v>48/50</v>
      </c>
      <c r="W73">
        <f>[1]TDSheet!W74</f>
        <v>42</v>
      </c>
      <c r="X73">
        <f>[1]TDSheet!X74</f>
        <v>0</v>
      </c>
      <c r="Y73">
        <f>[1]TDSheet!Y74</f>
        <v>0</v>
      </c>
      <c r="Z73">
        <f>[1]TDSheet!Z74</f>
        <v>44672</v>
      </c>
      <c r="AA73" t="str">
        <f>[1]TDSheet!AA74</f>
        <v>21/04-49_2022</v>
      </c>
      <c r="AB73">
        <f>[1]TDSheet!AB74</f>
        <v>0</v>
      </c>
      <c r="AC73">
        <f>[1]TDSheet!AC74</f>
        <v>0</v>
      </c>
      <c r="AD73">
        <f>[1]TDSheet!AD74</f>
        <v>0</v>
      </c>
      <c r="AE73">
        <f>[1]TDSheet!AE74</f>
        <v>0</v>
      </c>
      <c r="AF73">
        <f>[1]TDSheet!AF74</f>
        <v>0</v>
      </c>
      <c r="AG73">
        <f>[1]TDSheet!AG74</f>
        <v>0</v>
      </c>
      <c r="AH73">
        <f>[1]TDSheet!AH74</f>
        <v>0</v>
      </c>
      <c r="AI73">
        <f>[1]TDSheet!AI74</f>
        <v>0</v>
      </c>
      <c r="AJ73">
        <f>[1]TDSheet!AJ74</f>
        <v>0</v>
      </c>
      <c r="AK73">
        <f>[1]TDSheet!AK74</f>
        <v>0</v>
      </c>
      <c r="AL73">
        <f>[1]TDSheet!AL74</f>
        <v>0</v>
      </c>
      <c r="AM73">
        <f>[1]TDSheet!AM74</f>
        <v>0</v>
      </c>
      <c r="AN73">
        <f>[1]TDSheet!AN74</f>
        <v>0</v>
      </c>
      <c r="AO73">
        <f>[1]TDSheet!AO74</f>
        <v>0</v>
      </c>
      <c r="AP73">
        <f>[1]TDSheet!AP74</f>
        <v>0</v>
      </c>
      <c r="AQ73">
        <f>[1]TDSheet!AQ74</f>
        <v>0</v>
      </c>
      <c r="AR73">
        <f>[1]TDSheet!AR74</f>
        <v>0</v>
      </c>
      <c r="AS73">
        <f>[1]TDSheet!AS74</f>
        <v>0</v>
      </c>
      <c r="AT73">
        <f>[1]TDSheet!AT74</f>
        <v>0</v>
      </c>
      <c r="AU73">
        <f>[1]TDSheet!AU74</f>
        <v>0</v>
      </c>
      <c r="AV73">
        <f>[1]TDSheet!AV74</f>
        <v>0</v>
      </c>
      <c r="AW73">
        <f>[1]TDSheet!AW74</f>
        <v>0</v>
      </c>
      <c r="AX73">
        <f>[1]TDSheet!AX74</f>
        <v>0</v>
      </c>
      <c r="AY73">
        <f>[1]TDSheet!AY74</f>
        <v>0</v>
      </c>
      <c r="AZ73">
        <f>[1]TDSheet!AZ74</f>
        <v>0</v>
      </c>
      <c r="BA73">
        <f>[1]TDSheet!BA74</f>
        <v>0</v>
      </c>
      <c r="BB73">
        <f>[1]TDSheet!BB74</f>
        <v>0</v>
      </c>
      <c r="BC73" t="str">
        <f>[1]TDSheet!BC74</f>
        <v>40820810243860018343</v>
      </c>
      <c r="BD73">
        <f>[1]TDSheet!BD74</f>
        <v>0</v>
      </c>
      <c r="BE73">
        <f>[1]TDSheet!BE74</f>
        <v>0</v>
      </c>
    </row>
    <row r="74" spans="1:57" x14ac:dyDescent="0.25">
      <c r="A74" t="str">
        <f>[1]TDSheet!A75</f>
        <v>Мирзоалиев Бобошох Мирзомудинович</v>
      </c>
      <c r="B74" t="str">
        <f>[1]TDSheet!B75</f>
        <v>Подсобный рабочий</v>
      </c>
      <c r="C74" t="str">
        <f>TEXT([1]TDSheet!C75,"ДД.ММ.ГГГГ")</f>
        <v>15.02.1988</v>
      </c>
      <c r="D74" t="str">
        <f>[1]TDSheet!D75</f>
        <v>ТАДЖИКИСТАН</v>
      </c>
      <c r="E74" t="str">
        <f>[1]TDSheet!E75</f>
        <v>384907668396</v>
      </c>
      <c r="F74">
        <f>[1]TDSheet!F75</f>
        <v>0</v>
      </c>
      <c r="G74" t="str">
        <f>[1]TDSheet!G75</f>
        <v>Иностранный паспорт</v>
      </c>
      <c r="H74" t="str">
        <f>[1]TDSheet!H75</f>
        <v>Серия</v>
      </c>
      <c r="I74">
        <f>[1]TDSheet!I75</f>
        <v>0</v>
      </c>
      <c r="J74" t="str">
        <f>[1]TDSheet!J75</f>
        <v>Номер</v>
      </c>
      <c r="K74">
        <f>[1]TDSheet!K75</f>
        <v>401035939</v>
      </c>
      <c r="L74" t="str">
        <f>[1]TDSheet!L75</f>
        <v>Выдан</v>
      </c>
      <c r="M74" t="str">
        <f>TEXT([1]TDSheet!M75,"ДД.ММ.ГГГГ")</f>
        <v>02.05.2016</v>
      </c>
      <c r="N74" t="str">
        <f>[1]TDSheet!N75</f>
        <v>MIA  Таджикистан</v>
      </c>
      <c r="O74">
        <f>[1]TDSheet!O75</f>
        <v>0</v>
      </c>
      <c r="P74" t="str">
        <f>[1]TDSheet!P75</f>
        <v>Серия  Номер 401035939,Выдан 02.05.2016 MIA  Таджикистан</v>
      </c>
      <c r="Q74" t="str">
        <f>[1]TDSheet!Q75</f>
        <v>г.Москва, Силикатный проезд 19/2 стр 28 комната 303</v>
      </c>
      <c r="R74" t="str">
        <f>[1]TDSheet!R75</f>
        <v>г.Москва, Силикатный проезд 19/2 стр 28 комната 303</v>
      </c>
      <c r="S74" t="str">
        <f>[1]TDSheet!S75</f>
        <v>Патент: серия 77 № 2201010429 от 09.03.2022  Отдел внешней трудовой миграции УВМ ГУ МВД России по г. Москве</v>
      </c>
      <c r="T74">
        <f>[1]TDSheet!T75</f>
        <v>0</v>
      </c>
      <c r="U74">
        <f>[1]TDSheet!U75</f>
        <v>175</v>
      </c>
      <c r="V74">
        <f>[1]TDSheet!V75</f>
        <v>50</v>
      </c>
      <c r="W74">
        <f>[1]TDSheet!W75</f>
        <v>41</v>
      </c>
      <c r="X74">
        <f>[1]TDSheet!X75</f>
        <v>0</v>
      </c>
      <c r="Y74">
        <f>[1]TDSheet!Y75</f>
        <v>0</v>
      </c>
      <c r="Z74">
        <f>[1]TDSheet!Z75</f>
        <v>44672</v>
      </c>
      <c r="AA74" t="str">
        <f>[1]TDSheet!AA75</f>
        <v>21/04-50_2022</v>
      </c>
      <c r="AB74">
        <f>[1]TDSheet!AB75</f>
        <v>0</v>
      </c>
      <c r="AC74">
        <f>[1]TDSheet!AC75</f>
        <v>0</v>
      </c>
      <c r="AD74">
        <f>[1]TDSheet!AD75</f>
        <v>0</v>
      </c>
      <c r="AE74">
        <f>[1]TDSheet!AE75</f>
        <v>0</v>
      </c>
      <c r="AF74">
        <f>[1]TDSheet!AF75</f>
        <v>0</v>
      </c>
      <c r="AG74">
        <f>[1]TDSheet!AG75</f>
        <v>0</v>
      </c>
      <c r="AH74">
        <f>[1]TDSheet!AH75</f>
        <v>0</v>
      </c>
      <c r="AI74">
        <f>[1]TDSheet!AI75</f>
        <v>0</v>
      </c>
      <c r="AJ74">
        <f>[1]TDSheet!AJ75</f>
        <v>0</v>
      </c>
      <c r="AK74">
        <f>[1]TDSheet!AK75</f>
        <v>0</v>
      </c>
      <c r="AL74">
        <f>[1]TDSheet!AL75</f>
        <v>0</v>
      </c>
      <c r="AM74">
        <f>[1]TDSheet!AM75</f>
        <v>0</v>
      </c>
      <c r="AN74">
        <f>[1]TDSheet!AN75</f>
        <v>0</v>
      </c>
      <c r="AO74">
        <f>[1]TDSheet!AO75</f>
        <v>0</v>
      </c>
      <c r="AP74">
        <f>[1]TDSheet!AP75</f>
        <v>0</v>
      </c>
      <c r="AQ74">
        <f>[1]TDSheet!AQ75</f>
        <v>0</v>
      </c>
      <c r="AR74">
        <f>[1]TDSheet!AR75</f>
        <v>0</v>
      </c>
      <c r="AS74">
        <f>[1]TDSheet!AS75</f>
        <v>0</v>
      </c>
      <c r="AT74">
        <f>[1]TDSheet!AT75</f>
        <v>0</v>
      </c>
      <c r="AU74">
        <f>[1]TDSheet!AU75</f>
        <v>0</v>
      </c>
      <c r="AV74">
        <f>[1]TDSheet!AV75</f>
        <v>0</v>
      </c>
      <c r="AW74">
        <f>[1]TDSheet!AW75</f>
        <v>0</v>
      </c>
      <c r="AX74">
        <f>[1]TDSheet!AX75</f>
        <v>0</v>
      </c>
      <c r="AY74">
        <f>[1]TDSheet!AY75</f>
        <v>0</v>
      </c>
      <c r="AZ74">
        <f>[1]TDSheet!AZ75</f>
        <v>0</v>
      </c>
      <c r="BA74">
        <f>[1]TDSheet!BA75</f>
        <v>0</v>
      </c>
      <c r="BB74">
        <f>[1]TDSheet!BB75</f>
        <v>0</v>
      </c>
      <c r="BC74" t="str">
        <f>[1]TDSheet!BC75</f>
        <v>40820810740100394499</v>
      </c>
      <c r="BD74">
        <f>[1]TDSheet!BD75</f>
        <v>0</v>
      </c>
      <c r="BE74">
        <f>[1]TDSheet!BE75</f>
        <v>0</v>
      </c>
    </row>
    <row r="75" spans="1:57" x14ac:dyDescent="0.25">
      <c r="A75" t="str">
        <f>[1]TDSheet!A76</f>
        <v>Белоусов Роман Александрович</v>
      </c>
      <c r="B75" t="str">
        <f>[1]TDSheet!B76</f>
        <v>Кровельщик</v>
      </c>
      <c r="C75" t="str">
        <f>TEXT([1]TDSheet!C76,"ДД.ММ.ГГГГ")</f>
        <v>17.08.1994</v>
      </c>
      <c r="D75" t="str">
        <f>[1]TDSheet!D76</f>
        <v>БЕЛАРУСЬ</v>
      </c>
      <c r="E75" t="str">
        <f>[1]TDSheet!E76</f>
        <v>772999064522</v>
      </c>
      <c r="F75" t="str">
        <f>[1]TDSheet!F76</f>
        <v>206-054-399 36</v>
      </c>
      <c r="G75" t="str">
        <f>[1]TDSheet!G76</f>
        <v>Иностранный паспорт</v>
      </c>
      <c r="H75" t="str">
        <f>[1]TDSheet!H76</f>
        <v>Серия</v>
      </c>
      <c r="I75" t="str">
        <f>[1]TDSheet!I76</f>
        <v>КВ</v>
      </c>
      <c r="J75" t="str">
        <f>[1]TDSheet!J76</f>
        <v>Номер</v>
      </c>
      <c r="K75">
        <f>[1]TDSheet!K76</f>
        <v>2444532</v>
      </c>
      <c r="L75" t="str">
        <f>[1]TDSheet!L76</f>
        <v>Выдан</v>
      </c>
      <c r="M75" t="str">
        <f>TEXT([1]TDSheet!M76,"ДД.ММ.ГГГГ")</f>
        <v>22.08.2019</v>
      </c>
      <c r="N75" t="str">
        <f>[1]TDSheet!N76</f>
        <v>Чаусский РОВД Могилевской области</v>
      </c>
      <c r="O75">
        <f>[1]TDSheet!O76</f>
        <v>0</v>
      </c>
      <c r="P75" t="str">
        <f>[1]TDSheet!P76</f>
        <v>Серия КВ Номер 2444532,Выдан 22.08.2019 Чаусский РОВД Могилевской области</v>
      </c>
      <c r="Q75" t="str">
        <f>[1]TDSheet!Q76</f>
        <v xml:space="preserve">Республика Беларусь, Могилевская область, Чаусский р-н, Благовичи, ул. Заозерная, д.17Б, </v>
      </c>
      <c r="R75" t="str">
        <f>[1]TDSheet!R76</f>
        <v xml:space="preserve">Республика Беларусь, Могилевская область, Чаусский р-н, Благовичи, ул. Заозерная, д.17Б, </v>
      </c>
      <c r="S75">
        <f>[1]TDSheet!S76</f>
        <v>0</v>
      </c>
      <c r="T75">
        <f>[1]TDSheet!T76</f>
        <v>0</v>
      </c>
      <c r="U75">
        <f>[1]TDSheet!U76</f>
        <v>183</v>
      </c>
      <c r="V75">
        <f>[1]TDSheet!V76</f>
        <v>50</v>
      </c>
      <c r="W75">
        <f>[1]TDSheet!W76</f>
        <v>43</v>
      </c>
      <c r="X75">
        <f>[1]TDSheet!X76</f>
        <v>0</v>
      </c>
      <c r="Y75">
        <f>[1]TDSheet!Y76</f>
        <v>0</v>
      </c>
      <c r="Z75">
        <f>[1]TDSheet!Z76</f>
        <v>44676</v>
      </c>
      <c r="AA75" t="str">
        <f>[1]TDSheet!AA76</f>
        <v>25/04-51_22</v>
      </c>
      <c r="AB75">
        <f>[1]TDSheet!AB76</f>
        <v>0</v>
      </c>
      <c r="AC75">
        <f>[1]TDSheet!AC76</f>
        <v>0</v>
      </c>
      <c r="AD75">
        <f>[1]TDSheet!AD76</f>
        <v>0</v>
      </c>
      <c r="AE75">
        <f>[1]TDSheet!AE76</f>
        <v>0</v>
      </c>
      <c r="AF75">
        <f>[1]TDSheet!AF76</f>
        <v>0</v>
      </c>
      <c r="AG75">
        <f>[1]TDSheet!AG76</f>
        <v>0</v>
      </c>
      <c r="AH75">
        <f>[1]TDSheet!AH76</f>
        <v>0</v>
      </c>
      <c r="AI75">
        <f>[1]TDSheet!AI76</f>
        <v>0</v>
      </c>
      <c r="AJ75">
        <f>[1]TDSheet!AJ76</f>
        <v>0</v>
      </c>
      <c r="AK75">
        <f>[1]TDSheet!AK76</f>
        <v>0</v>
      </c>
      <c r="AL75">
        <f>[1]TDSheet!AL76</f>
        <v>0</v>
      </c>
      <c r="AM75">
        <f>[1]TDSheet!AM76</f>
        <v>0</v>
      </c>
      <c r="AN75">
        <f>[1]TDSheet!AN76</f>
        <v>0</v>
      </c>
      <c r="AO75">
        <f>[1]TDSheet!AO76</f>
        <v>0</v>
      </c>
      <c r="AP75">
        <f>[1]TDSheet!AP76</f>
        <v>0</v>
      </c>
      <c r="AQ75">
        <f>[1]TDSheet!AQ76</f>
        <v>0</v>
      </c>
      <c r="AR75">
        <f>[1]TDSheet!AR76</f>
        <v>0</v>
      </c>
      <c r="AS75">
        <f>[1]TDSheet!AS76</f>
        <v>0</v>
      </c>
      <c r="AT75">
        <f>[1]TDSheet!AT76</f>
        <v>0</v>
      </c>
      <c r="AU75">
        <f>[1]TDSheet!AU76</f>
        <v>0</v>
      </c>
      <c r="AV75">
        <f>[1]TDSheet!AV76</f>
        <v>0</v>
      </c>
      <c r="AW75">
        <f>[1]TDSheet!AW76</f>
        <v>0</v>
      </c>
      <c r="AX75">
        <f>[1]TDSheet!AX76</f>
        <v>0</v>
      </c>
      <c r="AY75">
        <f>[1]TDSheet!AY76</f>
        <v>0</v>
      </c>
      <c r="AZ75">
        <f>[1]TDSheet!AZ76</f>
        <v>0</v>
      </c>
      <c r="BA75">
        <f>[1]TDSheet!BA76</f>
        <v>0</v>
      </c>
      <c r="BB75">
        <f>[1]TDSheet!BB76</f>
        <v>0</v>
      </c>
      <c r="BC75" t="str">
        <f>[1]TDSheet!BC76</f>
        <v>40820810640011258313</v>
      </c>
      <c r="BD75" t="str">
        <f>[1]TDSheet!BD76</f>
        <v>ПАО СБЕРБАНК</v>
      </c>
      <c r="BE75" t="str">
        <f>[1]TDSheet!BE76</f>
        <v>044525225</v>
      </c>
    </row>
    <row r="76" spans="1:57" x14ac:dyDescent="0.25">
      <c r="A76" t="str">
        <f>[1]TDSheet!A77</f>
        <v>Рыбалка Петр Анатольевич</v>
      </c>
      <c r="B76" t="str">
        <f>[1]TDSheet!B77</f>
        <v>Кровельщик</v>
      </c>
      <c r="C76" t="str">
        <f>TEXT([1]TDSheet!C77,"ДД.ММ.ГГГГ")</f>
        <v>27.07.1987</v>
      </c>
      <c r="D76" t="str">
        <f>[1]TDSheet!D77</f>
        <v>БЕЛАРУСЬ</v>
      </c>
      <c r="E76">
        <f>[1]TDSheet!E77</f>
        <v>0</v>
      </c>
      <c r="F76">
        <f>[1]TDSheet!F77</f>
        <v>0</v>
      </c>
      <c r="G76" t="str">
        <f>[1]TDSheet!G77</f>
        <v>Иностранный паспорт</v>
      </c>
      <c r="H76" t="str">
        <f>[1]TDSheet!H77</f>
        <v>Серия</v>
      </c>
      <c r="I76" t="str">
        <f>[1]TDSheet!I77</f>
        <v>КВ</v>
      </c>
      <c r="J76" t="str">
        <f>[1]TDSheet!J77</f>
        <v>Номер</v>
      </c>
      <c r="K76">
        <f>[1]TDSheet!K77</f>
        <v>2583125</v>
      </c>
      <c r="L76" t="str">
        <f>[1]TDSheet!L77</f>
        <v>Выдан</v>
      </c>
      <c r="M76" t="str">
        <f>TEXT([1]TDSheet!M77,"ДД.ММ.ГГГГ")</f>
        <v>04.032022</v>
      </c>
      <c r="N76" t="str">
        <f>[1]TDSheet!N77</f>
        <v>ОКТЯБРЬСКИМ РОВД Г. МОГИЛЕВА</v>
      </c>
      <c r="O76">
        <f>[1]TDSheet!O77</f>
        <v>0</v>
      </c>
      <c r="P76" t="str">
        <f>[1]TDSheet!P77</f>
        <v>Серия КВ Номер 2583125,Выдан 04.032022 ОКТЯБРЬСКИМ РОВД Г. МОГИЛЕВА</v>
      </c>
      <c r="Q76" t="str">
        <f>[1]TDSheet!Q77</f>
        <v>Могилевская обл., г. Чаусы,ул. Заводская  д. 10</v>
      </c>
      <c r="R76" t="str">
        <f>[1]TDSheet!R77</f>
        <v>Могилевская обл., г. Чаусы,ул. Заводская  д. 10</v>
      </c>
      <c r="S76">
        <f>[1]TDSheet!S77</f>
        <v>0</v>
      </c>
      <c r="T76">
        <f>[1]TDSheet!T77</f>
        <v>0</v>
      </c>
      <c r="U76">
        <f>[1]TDSheet!U77</f>
        <v>180</v>
      </c>
      <c r="V76" t="str">
        <f>[1]TDSheet!V77</f>
        <v>50/54</v>
      </c>
      <c r="W76">
        <f>[1]TDSheet!W77</f>
        <v>43</v>
      </c>
      <c r="X76">
        <f>[1]TDSheet!X77</f>
        <v>0</v>
      </c>
      <c r="Y76">
        <f>[1]TDSheet!Y77</f>
        <v>0</v>
      </c>
      <c r="Z76">
        <f>[1]TDSheet!Z77</f>
        <v>44676</v>
      </c>
      <c r="AA76" t="str">
        <f>[1]TDSheet!AA77</f>
        <v>25/04-52_22</v>
      </c>
      <c r="AB76">
        <f>[1]TDSheet!AB77</f>
        <v>0</v>
      </c>
      <c r="AC76">
        <f>[1]TDSheet!AC77</f>
        <v>0</v>
      </c>
      <c r="AD76">
        <f>[1]TDSheet!AD77</f>
        <v>0</v>
      </c>
      <c r="AE76">
        <f>[1]TDSheet!AE77</f>
        <v>0</v>
      </c>
      <c r="AF76">
        <f>[1]TDSheet!AF77</f>
        <v>0</v>
      </c>
      <c r="AG76">
        <f>[1]TDSheet!AG77</f>
        <v>0</v>
      </c>
      <c r="AH76">
        <f>[1]TDSheet!AH77</f>
        <v>0</v>
      </c>
      <c r="AI76">
        <f>[1]TDSheet!AI77</f>
        <v>0</v>
      </c>
      <c r="AJ76">
        <f>[1]TDSheet!AJ77</f>
        <v>0</v>
      </c>
      <c r="AK76">
        <f>[1]TDSheet!AK77</f>
        <v>0</v>
      </c>
      <c r="AL76">
        <f>[1]TDSheet!AL77</f>
        <v>0</v>
      </c>
      <c r="AM76">
        <f>[1]TDSheet!AM77</f>
        <v>0</v>
      </c>
      <c r="AN76">
        <f>[1]TDSheet!AN77</f>
        <v>0</v>
      </c>
      <c r="AO76">
        <f>[1]TDSheet!AO77</f>
        <v>0</v>
      </c>
      <c r="AP76">
        <f>[1]TDSheet!AP77</f>
        <v>0</v>
      </c>
      <c r="AQ76">
        <f>[1]TDSheet!AQ77</f>
        <v>0</v>
      </c>
      <c r="AR76">
        <f>[1]TDSheet!AR77</f>
        <v>0</v>
      </c>
      <c r="AS76">
        <f>[1]TDSheet!AS77</f>
        <v>0</v>
      </c>
      <c r="AT76">
        <f>[1]TDSheet!AT77</f>
        <v>0</v>
      </c>
      <c r="AU76">
        <f>[1]TDSheet!AU77</f>
        <v>0</v>
      </c>
      <c r="AV76">
        <f>[1]TDSheet!AV77</f>
        <v>0</v>
      </c>
      <c r="AW76">
        <f>[1]TDSheet!AW77</f>
        <v>0</v>
      </c>
      <c r="AX76">
        <f>[1]TDSheet!AX77</f>
        <v>0</v>
      </c>
      <c r="AY76">
        <f>[1]TDSheet!AY77</f>
        <v>0</v>
      </c>
      <c r="AZ76">
        <f>[1]TDSheet!AZ77</f>
        <v>0</v>
      </c>
      <c r="BA76">
        <f>[1]TDSheet!BA77</f>
        <v>0</v>
      </c>
      <c r="BB76">
        <f>[1]TDSheet!BB77</f>
        <v>0</v>
      </c>
      <c r="BC76">
        <f>[1]TDSheet!BC77</f>
        <v>0</v>
      </c>
      <c r="BD76">
        <f>[1]TDSheet!BD77</f>
        <v>0</v>
      </c>
      <c r="BE76">
        <f>[1]TDSheet!BE77</f>
        <v>0</v>
      </c>
    </row>
    <row r="77" spans="1:57" x14ac:dyDescent="0.25">
      <c r="A77" t="str">
        <f>[1]TDSheet!A78</f>
        <v>Курбонов Ахлиддин Абдулвосеъович</v>
      </c>
      <c r="B77" t="str">
        <f>[1]TDSheet!B78</f>
        <v>Подсобный рабочий</v>
      </c>
      <c r="C77" t="str">
        <f>TEXT([1]TDSheet!C78,"ДД.ММ.ГГГГ")</f>
        <v>15.03.1995</v>
      </c>
      <c r="D77" t="str">
        <f>[1]TDSheet!D78</f>
        <v>ТАДЖИКИСТАН</v>
      </c>
      <c r="E77">
        <f>[1]TDSheet!E78</f>
        <v>0</v>
      </c>
      <c r="F77">
        <f>[1]TDSheet!F78</f>
        <v>0</v>
      </c>
      <c r="G77" t="str">
        <f>[1]TDSheet!G78</f>
        <v>Иностранный паспорт</v>
      </c>
      <c r="H77" t="str">
        <f>[1]TDSheet!H78</f>
        <v>Серия</v>
      </c>
      <c r="I77">
        <f>[1]TDSheet!I78</f>
        <v>0</v>
      </c>
      <c r="J77" t="str">
        <f>[1]TDSheet!J78</f>
        <v>Номер</v>
      </c>
      <c r="K77">
        <f>[1]TDSheet!K78</f>
        <v>402824492</v>
      </c>
      <c r="L77" t="str">
        <f>[1]TDSheet!L78</f>
        <v>Выдан</v>
      </c>
      <c r="M77" t="str">
        <f>TEXT([1]TDSheet!M78,"ДД.ММ.ГГГГ")</f>
        <v>16.09.2019</v>
      </c>
      <c r="N77" t="str">
        <f>[1]TDSheet!N78</f>
        <v>Россия, Санкт-петербург</v>
      </c>
      <c r="O77">
        <f>[1]TDSheet!O78</f>
        <v>0</v>
      </c>
      <c r="P77" t="str">
        <f>[1]TDSheet!P78</f>
        <v>Серия  Номер 402824492,Выдан 16.09.2019 Россия, Санкт-петербург</v>
      </c>
      <c r="Q77" t="str">
        <f>[1]TDSheet!Q78</f>
        <v>г.Москва, Силикатный проезд 19/2 стр 28 комната 301</v>
      </c>
      <c r="R77" t="str">
        <f>[1]TDSheet!R78</f>
        <v>г.Москва, Силикатный проезд 19/2 стр 28 комната 301</v>
      </c>
      <c r="S77" t="str">
        <f>[1]TDSheet!S78</f>
        <v>Патент: серия 77 № 210653447 от 27.09.2021  Отдел внешней трудовой миграции УВМ ГУ МВД России по г. Москве</v>
      </c>
      <c r="T77">
        <f>[1]TDSheet!T78</f>
        <v>0</v>
      </c>
      <c r="U77">
        <f>[1]TDSheet!U78</f>
        <v>0</v>
      </c>
      <c r="V77">
        <f>[1]TDSheet!V78</f>
        <v>0</v>
      </c>
      <c r="W77">
        <f>[1]TDSheet!W78</f>
        <v>0</v>
      </c>
      <c r="X77">
        <f>[1]TDSheet!X78</f>
        <v>0</v>
      </c>
      <c r="Y77">
        <f>[1]TDSheet!Y78</f>
        <v>0</v>
      </c>
      <c r="Z77">
        <f>[1]TDSheet!Z78</f>
        <v>44676</v>
      </c>
      <c r="AA77" t="str">
        <f>[1]TDSheet!AA78</f>
        <v>25/04-53_22</v>
      </c>
      <c r="AB77">
        <f>[1]TDSheet!AB78</f>
        <v>0</v>
      </c>
      <c r="AC77">
        <f>[1]TDSheet!AC78</f>
        <v>0</v>
      </c>
      <c r="AD77">
        <f>[1]TDSheet!AD78</f>
        <v>0</v>
      </c>
      <c r="AE77">
        <f>[1]TDSheet!AE78</f>
        <v>0</v>
      </c>
      <c r="AF77">
        <f>[1]TDSheet!AF78</f>
        <v>0</v>
      </c>
      <c r="AG77">
        <f>[1]TDSheet!AG78</f>
        <v>0</v>
      </c>
      <c r="AH77">
        <f>[1]TDSheet!AH78</f>
        <v>0</v>
      </c>
      <c r="AI77">
        <f>[1]TDSheet!AI78</f>
        <v>0</v>
      </c>
      <c r="AJ77">
        <f>[1]TDSheet!AJ78</f>
        <v>0</v>
      </c>
      <c r="AK77">
        <f>[1]TDSheet!AK78</f>
        <v>0</v>
      </c>
      <c r="AL77">
        <f>[1]TDSheet!AL78</f>
        <v>0</v>
      </c>
      <c r="AM77">
        <f>[1]TDSheet!AM78</f>
        <v>0</v>
      </c>
      <c r="AN77">
        <f>[1]TDSheet!AN78</f>
        <v>0</v>
      </c>
      <c r="AO77">
        <f>[1]TDSheet!AO78</f>
        <v>0</v>
      </c>
      <c r="AP77">
        <f>[1]TDSheet!AP78</f>
        <v>0</v>
      </c>
      <c r="AQ77">
        <f>[1]TDSheet!AQ78</f>
        <v>0</v>
      </c>
      <c r="AR77">
        <f>[1]TDSheet!AR78</f>
        <v>0</v>
      </c>
      <c r="AS77">
        <f>[1]TDSheet!AS78</f>
        <v>0</v>
      </c>
      <c r="AT77">
        <f>[1]TDSheet!AT78</f>
        <v>0</v>
      </c>
      <c r="AU77">
        <f>[1]TDSheet!AU78</f>
        <v>0</v>
      </c>
      <c r="AV77">
        <f>[1]TDSheet!AV78</f>
        <v>0</v>
      </c>
      <c r="AW77">
        <f>[1]TDSheet!AW78</f>
        <v>0</v>
      </c>
      <c r="AX77">
        <f>[1]TDSheet!AX78</f>
        <v>0</v>
      </c>
      <c r="AY77">
        <f>[1]TDSheet!AY78</f>
        <v>0</v>
      </c>
      <c r="AZ77">
        <f>[1]TDSheet!AZ78</f>
        <v>0</v>
      </c>
      <c r="BA77">
        <f>[1]TDSheet!BA78</f>
        <v>0</v>
      </c>
      <c r="BB77">
        <f>[1]TDSheet!BB78</f>
        <v>0</v>
      </c>
      <c r="BC77" t="str">
        <f>[1]TDSheet!BC78</f>
        <v>40820810640100167438</v>
      </c>
      <c r="BD77" t="str">
        <f>[1]TDSheet!BD78</f>
        <v>ПАО СБЕРБАНК</v>
      </c>
      <c r="BE77">
        <f>[1]TDSheet!BE78</f>
        <v>0</v>
      </c>
    </row>
    <row r="78" spans="1:57" x14ac:dyDescent="0.25">
      <c r="A78" t="str">
        <f>[1]TDSheet!A79</f>
        <v>Ахмадов Абдулмумин Абдулманонович</v>
      </c>
      <c r="B78" t="str">
        <f>[1]TDSheet!B79</f>
        <v>Подсобный рабочий</v>
      </c>
      <c r="C78" t="str">
        <f>TEXT([1]TDSheet!C79,"ДД.ММ.ГГГГ")</f>
        <v>02.07.1984</v>
      </c>
      <c r="D78" t="str">
        <f>[1]TDSheet!D79</f>
        <v>ТАДЖИКИСТАН</v>
      </c>
      <c r="E78">
        <f>[1]TDSheet!E79</f>
        <v>0</v>
      </c>
      <c r="F78">
        <f>[1]TDSheet!F79</f>
        <v>0</v>
      </c>
      <c r="G78" t="str">
        <f>[1]TDSheet!G79</f>
        <v>Иностранный паспорт</v>
      </c>
      <c r="H78" t="str">
        <f>[1]TDSheet!H79</f>
        <v>Серия</v>
      </c>
      <c r="I78">
        <f>[1]TDSheet!I79</f>
        <v>0</v>
      </c>
      <c r="J78" t="str">
        <f>[1]TDSheet!J79</f>
        <v>Номер</v>
      </c>
      <c r="K78">
        <f>[1]TDSheet!K79</f>
        <v>402479262</v>
      </c>
      <c r="L78" t="str">
        <f>[1]TDSheet!L79</f>
        <v>Выдан</v>
      </c>
      <c r="M78" t="str">
        <f>TEXT([1]TDSheet!M79,"ДД.ММ.ГГГГ")</f>
        <v>23.01.2019</v>
      </c>
      <c r="N78" t="str">
        <f>[1]TDSheet!N79</f>
        <v>МВД Хамадони</v>
      </c>
      <c r="O78">
        <f>[1]TDSheet!O79</f>
        <v>0</v>
      </c>
      <c r="P78" t="str">
        <f>[1]TDSheet!P79</f>
        <v>Серия  Номер 402479262,Выдан 23.01.2019 МВД Хамадони</v>
      </c>
      <c r="Q78" t="str">
        <f>[1]TDSheet!Q79</f>
        <v>г.Москва, Силикатный проезд 19/2 стр 28 комната 303</v>
      </c>
      <c r="R78" t="str">
        <f>[1]TDSheet!R79</f>
        <v>г.Москва, Силикатный проезд 19/2 стр 28 комната 303</v>
      </c>
      <c r="S78" t="str">
        <f>[1]TDSheet!S79</f>
        <v>Патент: серия 77 № 2201002570 от 09.03.2022  Отдел внешней трудовой миграции УВМ ГУ МВД России по г. Москве</v>
      </c>
      <c r="T78">
        <f>[1]TDSheet!T79</f>
        <v>0</v>
      </c>
      <c r="U78">
        <f>[1]TDSheet!U79</f>
        <v>0</v>
      </c>
      <c r="V78">
        <f>[1]TDSheet!V79</f>
        <v>0</v>
      </c>
      <c r="W78">
        <f>[1]TDSheet!W79</f>
        <v>0</v>
      </c>
      <c r="X78">
        <f>[1]TDSheet!X79</f>
        <v>0</v>
      </c>
      <c r="Y78">
        <f>[1]TDSheet!Y79</f>
        <v>0</v>
      </c>
      <c r="Z78">
        <f>[1]TDSheet!Z79</f>
        <v>44676</v>
      </c>
      <c r="AA78" t="str">
        <f>[1]TDSheet!AA79</f>
        <v>25/04-54_22</v>
      </c>
      <c r="AB78">
        <f>[1]TDSheet!AB79</f>
        <v>0</v>
      </c>
      <c r="AC78">
        <f>[1]TDSheet!AC79</f>
        <v>0</v>
      </c>
      <c r="AD78">
        <f>[1]TDSheet!AD79</f>
        <v>0</v>
      </c>
      <c r="AE78">
        <f>[1]TDSheet!AE79</f>
        <v>0</v>
      </c>
      <c r="AF78">
        <f>[1]TDSheet!AF79</f>
        <v>0</v>
      </c>
      <c r="AG78">
        <f>[1]TDSheet!AG79</f>
        <v>0</v>
      </c>
      <c r="AH78">
        <f>[1]TDSheet!AH79</f>
        <v>0</v>
      </c>
      <c r="AI78">
        <f>[1]TDSheet!AI79</f>
        <v>0</v>
      </c>
      <c r="AJ78">
        <f>[1]TDSheet!AJ79</f>
        <v>0</v>
      </c>
      <c r="AK78">
        <f>[1]TDSheet!AK79</f>
        <v>0</v>
      </c>
      <c r="AL78">
        <f>[1]TDSheet!AL79</f>
        <v>0</v>
      </c>
      <c r="AM78">
        <f>[1]TDSheet!AM79</f>
        <v>0</v>
      </c>
      <c r="AN78">
        <f>[1]TDSheet!AN79</f>
        <v>0</v>
      </c>
      <c r="AO78">
        <f>[1]TDSheet!AO79</f>
        <v>0</v>
      </c>
      <c r="AP78">
        <f>[1]TDSheet!AP79</f>
        <v>0</v>
      </c>
      <c r="AQ78">
        <f>[1]TDSheet!AQ79</f>
        <v>0</v>
      </c>
      <c r="AR78">
        <f>[1]TDSheet!AR79</f>
        <v>0</v>
      </c>
      <c r="AS78">
        <f>[1]TDSheet!AS79</f>
        <v>0</v>
      </c>
      <c r="AT78">
        <f>[1]TDSheet!AT79</f>
        <v>0</v>
      </c>
      <c r="AU78">
        <f>[1]TDSheet!AU79</f>
        <v>0</v>
      </c>
      <c r="AV78">
        <f>[1]TDSheet!AV79</f>
        <v>0</v>
      </c>
      <c r="AW78">
        <f>[1]TDSheet!AW79</f>
        <v>0</v>
      </c>
      <c r="AX78">
        <f>[1]TDSheet!AX79</f>
        <v>0</v>
      </c>
      <c r="AY78">
        <f>[1]TDSheet!AY79</f>
        <v>0</v>
      </c>
      <c r="AZ78">
        <f>[1]TDSheet!AZ79</f>
        <v>0</v>
      </c>
      <c r="BA78">
        <f>[1]TDSheet!BA79</f>
        <v>0</v>
      </c>
      <c r="BB78">
        <f>[1]TDSheet!BB79</f>
        <v>0</v>
      </c>
      <c r="BC78" t="str">
        <f>[1]TDSheet!BC79</f>
        <v>40820810040100400070</v>
      </c>
      <c r="BD78" t="str">
        <f>[1]TDSheet!BD79</f>
        <v>ПАО СБЕРБАНК</v>
      </c>
      <c r="BE78">
        <f>[1]TDSheet!BE79</f>
        <v>0</v>
      </c>
    </row>
    <row r="79" spans="1:57" x14ac:dyDescent="0.25">
      <c r="A79" t="str">
        <f>[1]TDSheet!A80</f>
        <v>Воронина Юлия Сергеевна</v>
      </c>
      <c r="B79" t="str">
        <f>[1]TDSheet!B80</f>
        <v>Инженет пто</v>
      </c>
      <c r="C79" t="str">
        <f>TEXT([1]TDSheet!C80,"ДД.ММ.ГГГГ")</f>
        <v>16.08.1994</v>
      </c>
      <c r="D79" t="str">
        <f>[1]TDSheet!D80</f>
        <v>РОССИЯ</v>
      </c>
      <c r="E79">
        <f>[1]TDSheet!E80</f>
        <v>0</v>
      </c>
      <c r="F79" t="str">
        <f>[1]TDSheet!F80</f>
        <v>114-551-452 27</v>
      </c>
      <c r="G79" t="str">
        <f>[1]TDSheet!G80</f>
        <v>Паспорт гражданина РФ</v>
      </c>
      <c r="H79" t="str">
        <f>[1]TDSheet!H80</f>
        <v>Серия</v>
      </c>
      <c r="I79">
        <f>[1]TDSheet!I80</f>
        <v>4519</v>
      </c>
      <c r="J79" t="str">
        <f>[1]TDSheet!J80</f>
        <v>Номер</v>
      </c>
      <c r="K79">
        <f>[1]TDSheet!K80</f>
        <v>599711</v>
      </c>
      <c r="L79" t="str">
        <f>[1]TDSheet!L80</f>
        <v>Выдан</v>
      </c>
      <c r="M79" t="str">
        <f>TEXT([1]TDSheet!M80,"ДД.ММ.ГГГГ")</f>
        <v>18.02.2020</v>
      </c>
      <c r="N79" t="str">
        <f>[1]TDSheet!N80</f>
        <v>ГУ МВД России по г.Москве 18.02.2020</v>
      </c>
      <c r="O79">
        <f>[1]TDSheet!O80</f>
        <v>0</v>
      </c>
      <c r="P79" t="str">
        <f>[1]TDSheet!P80</f>
        <v>Серия 4519 Номер 599711,Выдан 18.02.2020 ГУ МВД России по г.Москве 18.02.2020</v>
      </c>
      <c r="Q79" t="str">
        <f>[1]TDSheet!Q80</f>
        <v>г.Одинцово ул.Северная д5 к.2 кв.521</v>
      </c>
      <c r="R79" t="str">
        <f>[1]TDSheet!R80</f>
        <v>г.Одинцово ул.Северная д5 к.2 кв.521</v>
      </c>
      <c r="S79">
        <f>[1]TDSheet!S80</f>
        <v>0</v>
      </c>
      <c r="T79">
        <f>[1]TDSheet!T80</f>
        <v>0</v>
      </c>
      <c r="U79">
        <f>[1]TDSheet!U80</f>
        <v>0</v>
      </c>
      <c r="V79">
        <f>[1]TDSheet!V80</f>
        <v>0</v>
      </c>
      <c r="W79">
        <f>[1]TDSheet!W80</f>
        <v>0</v>
      </c>
      <c r="X79">
        <f>[1]TDSheet!X80</f>
        <v>0</v>
      </c>
      <c r="Y79">
        <f>[1]TDSheet!Y80</f>
        <v>0</v>
      </c>
      <c r="Z79">
        <f>[1]TDSheet!Z80</f>
        <v>44676</v>
      </c>
      <c r="AA79">
        <f>[1]TDSheet!AA80</f>
        <v>0</v>
      </c>
      <c r="AB79">
        <f>[1]TDSheet!AB80</f>
        <v>0</v>
      </c>
      <c r="AC79">
        <f>[1]TDSheet!AC80</f>
        <v>0</v>
      </c>
      <c r="AD79">
        <f>[1]TDSheet!AD80</f>
        <v>0</v>
      </c>
      <c r="AE79">
        <f>[1]TDSheet!AE80</f>
        <v>0</v>
      </c>
      <c r="AF79">
        <f>[1]TDSheet!AF80</f>
        <v>0</v>
      </c>
      <c r="AG79">
        <f>[1]TDSheet!AG80</f>
        <v>0</v>
      </c>
      <c r="AH79">
        <f>[1]TDSheet!AH80</f>
        <v>0</v>
      </c>
      <c r="AI79">
        <f>[1]TDSheet!AI80</f>
        <v>0</v>
      </c>
      <c r="AJ79">
        <f>[1]TDSheet!AJ80</f>
        <v>0</v>
      </c>
      <c r="AK79">
        <f>[1]TDSheet!AK80</f>
        <v>0</v>
      </c>
      <c r="AL79">
        <f>[1]TDSheet!AL80</f>
        <v>0</v>
      </c>
      <c r="AM79">
        <f>[1]TDSheet!AM80</f>
        <v>0</v>
      </c>
      <c r="AN79">
        <f>[1]TDSheet!AN80</f>
        <v>0</v>
      </c>
      <c r="AO79">
        <f>[1]TDSheet!AO80</f>
        <v>0</v>
      </c>
      <c r="AP79">
        <f>[1]TDSheet!AP80</f>
        <v>0</v>
      </c>
      <c r="AQ79">
        <f>[1]TDSheet!AQ80</f>
        <v>0</v>
      </c>
      <c r="AR79">
        <f>[1]TDSheet!AR80</f>
        <v>0</v>
      </c>
      <c r="AS79">
        <f>[1]TDSheet!AS80</f>
        <v>0</v>
      </c>
      <c r="AT79">
        <f>[1]TDSheet!AT80</f>
        <v>0</v>
      </c>
      <c r="AU79">
        <f>[1]TDSheet!AU80</f>
        <v>0</v>
      </c>
      <c r="AV79">
        <f>[1]TDSheet!AV80</f>
        <v>0</v>
      </c>
      <c r="AW79">
        <f>[1]TDSheet!AW80</f>
        <v>0</v>
      </c>
      <c r="AX79">
        <f>[1]TDSheet!AX80</f>
        <v>0</v>
      </c>
      <c r="AY79">
        <f>[1]TDSheet!AY80</f>
        <v>0</v>
      </c>
      <c r="AZ79">
        <f>[1]TDSheet!AZ80</f>
        <v>0</v>
      </c>
      <c r="BA79">
        <f>[1]TDSheet!BA80</f>
        <v>0</v>
      </c>
      <c r="BB79">
        <f>[1]TDSheet!BB80</f>
        <v>0</v>
      </c>
      <c r="BC79">
        <f>[1]TDSheet!BC80</f>
        <v>0</v>
      </c>
      <c r="BD79">
        <f>[1]TDSheet!BD80</f>
        <v>0</v>
      </c>
      <c r="BE79">
        <f>[1]TDSheet!BE80</f>
        <v>0</v>
      </c>
    </row>
    <row r="80" spans="1:57" x14ac:dyDescent="0.25">
      <c r="A80" t="str">
        <f>[1]TDSheet!A81</f>
        <v>Шарипов Рустам Хайдарович</v>
      </c>
      <c r="B80" t="str">
        <f>[1]TDSheet!B81</f>
        <v>Подсобный рабочий</v>
      </c>
      <c r="C80" t="str">
        <f>TEXT([1]TDSheet!C81,"ДД.ММ.ГГГГ")</f>
        <v>16.02.1989</v>
      </c>
      <c r="D80" t="str">
        <f>[1]TDSheet!D81</f>
        <v>ТАДЖИКИСТАН</v>
      </c>
      <c r="E80">
        <f>[1]TDSheet!E81</f>
        <v>0</v>
      </c>
      <c r="F80">
        <f>[1]TDSheet!F81</f>
        <v>0</v>
      </c>
      <c r="G80" t="str">
        <f>[1]TDSheet!G81</f>
        <v>Иностранный паспорт</v>
      </c>
      <c r="H80" t="str">
        <f>[1]TDSheet!H81</f>
        <v>Серия</v>
      </c>
      <c r="I80">
        <f>[1]TDSheet!I81</f>
        <v>0</v>
      </c>
      <c r="J80" t="str">
        <f>[1]TDSheet!J81</f>
        <v>Номер</v>
      </c>
      <c r="K80">
        <f>[1]TDSheet!K81</f>
        <v>402214278</v>
      </c>
      <c r="L80" t="str">
        <f>[1]TDSheet!L81</f>
        <v>Выдан</v>
      </c>
      <c r="M80" t="str">
        <f>TEXT([1]TDSheet!M81,"ДД.ММ.ГГГГ")</f>
        <v>28.07.2018</v>
      </c>
      <c r="N80" t="str">
        <f>[1]TDSheet!N81</f>
        <v>МВД Балхи</v>
      </c>
      <c r="O80">
        <f>[1]TDSheet!O81</f>
        <v>0</v>
      </c>
      <c r="P80" t="str">
        <f>[1]TDSheet!P81</f>
        <v>Серия  Номер 402214278,Выдан 28.07.2018 МВД Балхи</v>
      </c>
      <c r="Q80" t="str">
        <f>[1]TDSheet!Q81</f>
        <v>г. Москва Бутово ул. Брусилова д.41</v>
      </c>
      <c r="R80" t="str">
        <f>[1]TDSheet!R81</f>
        <v>г. Москва Бутово ул. Брусилова д.41</v>
      </c>
      <c r="S80" t="str">
        <f>[1]TDSheet!S81</f>
        <v>Патент: серия 77 № 2201495822 от 08.04.2022  Отдел внешней трудовой миграции УВМ ГУ МВД России по г. Москве</v>
      </c>
      <c r="T80">
        <f>[1]TDSheet!T81</f>
        <v>0</v>
      </c>
      <c r="U80">
        <f>[1]TDSheet!U81</f>
        <v>0</v>
      </c>
      <c r="V80">
        <f>[1]TDSheet!V81</f>
        <v>0</v>
      </c>
      <c r="W80">
        <f>[1]TDSheet!W81</f>
        <v>0</v>
      </c>
      <c r="X80">
        <f>[1]TDSheet!X81</f>
        <v>0</v>
      </c>
      <c r="Y80">
        <f>[1]TDSheet!Y81</f>
        <v>0</v>
      </c>
      <c r="Z80">
        <f>[1]TDSheet!Z81</f>
        <v>44676</v>
      </c>
      <c r="AA80" t="str">
        <f>[1]TDSheet!AA81</f>
        <v>25/04-57_22</v>
      </c>
      <c r="AB80">
        <f>[1]TDSheet!AB81</f>
        <v>0</v>
      </c>
      <c r="AC80">
        <f>[1]TDSheet!AC81</f>
        <v>0</v>
      </c>
      <c r="AD80">
        <f>[1]TDSheet!AD81</f>
        <v>0</v>
      </c>
      <c r="AE80">
        <f>[1]TDSheet!AE81</f>
        <v>0</v>
      </c>
      <c r="AF80">
        <f>[1]TDSheet!AF81</f>
        <v>0</v>
      </c>
      <c r="AG80">
        <f>[1]TDSheet!AG81</f>
        <v>0</v>
      </c>
      <c r="AH80">
        <f>[1]TDSheet!AH81</f>
        <v>0</v>
      </c>
      <c r="AI80">
        <f>[1]TDSheet!AI81</f>
        <v>0</v>
      </c>
      <c r="AJ80">
        <f>[1]TDSheet!AJ81</f>
        <v>0</v>
      </c>
      <c r="AK80">
        <f>[1]TDSheet!AK81</f>
        <v>0</v>
      </c>
      <c r="AL80">
        <f>[1]TDSheet!AL81</f>
        <v>0</v>
      </c>
      <c r="AM80">
        <f>[1]TDSheet!AM81</f>
        <v>0</v>
      </c>
      <c r="AN80">
        <f>[1]TDSheet!AN81</f>
        <v>0</v>
      </c>
      <c r="AO80">
        <f>[1]TDSheet!AO81</f>
        <v>0</v>
      </c>
      <c r="AP80">
        <f>[1]TDSheet!AP81</f>
        <v>0</v>
      </c>
      <c r="AQ80">
        <f>[1]TDSheet!AQ81</f>
        <v>0</v>
      </c>
      <c r="AR80">
        <f>[1]TDSheet!AR81</f>
        <v>0</v>
      </c>
      <c r="AS80">
        <f>[1]TDSheet!AS81</f>
        <v>0</v>
      </c>
      <c r="AT80">
        <f>[1]TDSheet!AT81</f>
        <v>0</v>
      </c>
      <c r="AU80">
        <f>[1]TDSheet!AU81</f>
        <v>0</v>
      </c>
      <c r="AV80">
        <f>[1]TDSheet!AV81</f>
        <v>0</v>
      </c>
      <c r="AW80">
        <f>[1]TDSheet!AW81</f>
        <v>0</v>
      </c>
      <c r="AX80">
        <f>[1]TDSheet!AX81</f>
        <v>0</v>
      </c>
      <c r="AY80">
        <f>[1]TDSheet!AY81</f>
        <v>0</v>
      </c>
      <c r="AZ80">
        <f>[1]TDSheet!AZ81</f>
        <v>0</v>
      </c>
      <c r="BA80">
        <f>[1]TDSheet!BA81</f>
        <v>0</v>
      </c>
      <c r="BB80">
        <f>[1]TDSheet!BB81</f>
        <v>0</v>
      </c>
      <c r="BC80">
        <f>[1]TDSheet!BC81</f>
        <v>0</v>
      </c>
      <c r="BD80">
        <f>[1]TDSheet!BD81</f>
        <v>0</v>
      </c>
      <c r="BE80">
        <f>[1]TDSheet!BE81</f>
        <v>0</v>
      </c>
    </row>
    <row r="81" spans="1:57" x14ac:dyDescent="0.25">
      <c r="A81" t="str">
        <f>[1]TDSheet!A82</f>
        <v>Шарифов Бахриддин Давлахмадович</v>
      </c>
      <c r="B81" t="str">
        <f>[1]TDSheet!B82</f>
        <v>Подсобный рабочий</v>
      </c>
      <c r="C81" t="str">
        <f>TEXT([1]TDSheet!C82,"ДД.ММ.ГГГГ")</f>
        <v>19.05.1997</v>
      </c>
      <c r="D81" t="str">
        <f>[1]TDSheet!D82</f>
        <v>ТАДЖИКИСТАН</v>
      </c>
      <c r="E81">
        <f>[1]TDSheet!E82</f>
        <v>0</v>
      </c>
      <c r="F81">
        <f>[1]TDSheet!F82</f>
        <v>0</v>
      </c>
      <c r="G81" t="str">
        <f>[1]TDSheet!G82</f>
        <v>Иностранный паспорт</v>
      </c>
      <c r="H81" t="str">
        <f>[1]TDSheet!H82</f>
        <v>Серия</v>
      </c>
      <c r="I81">
        <f>[1]TDSheet!I82</f>
        <v>0</v>
      </c>
      <c r="J81" t="str">
        <f>[1]TDSheet!J82</f>
        <v>Номер</v>
      </c>
      <c r="K81">
        <f>[1]TDSheet!K82</f>
        <v>401673864</v>
      </c>
      <c r="L81" t="str">
        <f>[1]TDSheet!L82</f>
        <v>Выдан</v>
      </c>
      <c r="M81" t="str">
        <f>TEXT([1]TDSheet!M82,"ДД.ММ.ГГГГ")</f>
        <v>22.08.2017</v>
      </c>
      <c r="N81" t="str">
        <f>[1]TDSheet!N82</f>
        <v>МВД г. Душанбе</v>
      </c>
      <c r="O81">
        <f>[1]TDSheet!O82</f>
        <v>0</v>
      </c>
      <c r="P81" t="str">
        <f>[1]TDSheet!P82</f>
        <v>Серия  Номер 401673864,Выдан 22.08.2017 МВД г. Душанбе</v>
      </c>
      <c r="Q81" t="str">
        <f>[1]TDSheet!Q82</f>
        <v>гор. Москва ул. Саратовская дом. 3, корп. 2, кв. 271</v>
      </c>
      <c r="R81" t="str">
        <f>[1]TDSheet!R82</f>
        <v>гор. Москва ул. Саратовская дом. 3, корп. 2, кв. 271</v>
      </c>
      <c r="S81" t="str">
        <f>[1]TDSheet!S82</f>
        <v>Патент: серия 77 № 2200895320 от27.12.2021  Отдел внешней трудовой миграции УВМ ГУ МВД России по г. Москве</v>
      </c>
      <c r="T81">
        <f>[1]TDSheet!T82</f>
        <v>0</v>
      </c>
      <c r="U81">
        <f>[1]TDSheet!U82</f>
        <v>0</v>
      </c>
      <c r="V81">
        <f>[1]TDSheet!V82</f>
        <v>0</v>
      </c>
      <c r="W81">
        <f>[1]TDSheet!W82</f>
        <v>0</v>
      </c>
      <c r="X81">
        <f>[1]TDSheet!X82</f>
        <v>0</v>
      </c>
      <c r="Y81">
        <f>[1]TDSheet!Y82</f>
        <v>0</v>
      </c>
      <c r="Z81">
        <f>[1]TDSheet!Z82</f>
        <v>44676</v>
      </c>
      <c r="AA81" t="str">
        <f>[1]TDSheet!AA82</f>
        <v>25/04-58_22</v>
      </c>
      <c r="AB81">
        <f>[1]TDSheet!AB82</f>
        <v>0</v>
      </c>
      <c r="AC81">
        <f>[1]TDSheet!AC82</f>
        <v>0</v>
      </c>
      <c r="AD81">
        <f>[1]TDSheet!AD82</f>
        <v>0</v>
      </c>
      <c r="AE81">
        <f>[1]TDSheet!AE82</f>
        <v>0</v>
      </c>
      <c r="AF81">
        <f>[1]TDSheet!AF82</f>
        <v>0</v>
      </c>
      <c r="AG81">
        <f>[1]TDSheet!AG82</f>
        <v>0</v>
      </c>
      <c r="AH81">
        <f>[1]TDSheet!AH82</f>
        <v>0</v>
      </c>
      <c r="AI81">
        <f>[1]TDSheet!AI82</f>
        <v>0</v>
      </c>
      <c r="AJ81">
        <f>[1]TDSheet!AJ82</f>
        <v>0</v>
      </c>
      <c r="AK81">
        <f>[1]TDSheet!AK82</f>
        <v>0</v>
      </c>
      <c r="AL81">
        <f>[1]TDSheet!AL82</f>
        <v>0</v>
      </c>
      <c r="AM81">
        <f>[1]TDSheet!AM82</f>
        <v>0</v>
      </c>
      <c r="AN81">
        <f>[1]TDSheet!AN82</f>
        <v>0</v>
      </c>
      <c r="AO81">
        <f>[1]TDSheet!AO82</f>
        <v>0</v>
      </c>
      <c r="AP81">
        <f>[1]TDSheet!AP82</f>
        <v>0</v>
      </c>
      <c r="AQ81">
        <f>[1]TDSheet!AQ82</f>
        <v>0</v>
      </c>
      <c r="AR81">
        <f>[1]TDSheet!AR82</f>
        <v>0</v>
      </c>
      <c r="AS81">
        <f>[1]TDSheet!AS82</f>
        <v>0</v>
      </c>
      <c r="AT81">
        <f>[1]TDSheet!AT82</f>
        <v>0</v>
      </c>
      <c r="AU81">
        <f>[1]TDSheet!AU82</f>
        <v>0</v>
      </c>
      <c r="AV81">
        <f>[1]TDSheet!AV82</f>
        <v>0</v>
      </c>
      <c r="AW81">
        <f>[1]TDSheet!AW82</f>
        <v>0</v>
      </c>
      <c r="AX81">
        <f>[1]TDSheet!AX82</f>
        <v>0</v>
      </c>
      <c r="AY81">
        <f>[1]TDSheet!AY82</f>
        <v>0</v>
      </c>
      <c r="AZ81">
        <f>[1]TDSheet!AZ82</f>
        <v>0</v>
      </c>
      <c r="BA81">
        <f>[1]TDSheet!BA82</f>
        <v>0</v>
      </c>
      <c r="BB81">
        <f>[1]TDSheet!BB82</f>
        <v>0</v>
      </c>
      <c r="BC81">
        <f>[1]TDSheet!BC82</f>
        <v>0</v>
      </c>
      <c r="BD81">
        <f>[1]TDSheet!BD82</f>
        <v>0</v>
      </c>
      <c r="BE81">
        <f>[1]TDSheet!BE82</f>
        <v>0</v>
      </c>
    </row>
    <row r="82" spans="1:57" x14ac:dyDescent="0.25">
      <c r="A82" t="str">
        <f>[1]TDSheet!A83</f>
        <v>Нуралиев Максудали Назарович</v>
      </c>
      <c r="B82" t="str">
        <f>[1]TDSheet!B83</f>
        <v>Подсобный рабочий</v>
      </c>
      <c r="C82" t="str">
        <f>TEXT([1]TDSheet!C83,"ДД.ММ.ГГГГ")</f>
        <v>12.12.1996</v>
      </c>
      <c r="D82" t="str">
        <f>[1]TDSheet!D83</f>
        <v>ТАДЖИКИСТАН</v>
      </c>
      <c r="E82">
        <f>[1]TDSheet!E83</f>
        <v>0</v>
      </c>
      <c r="F82">
        <f>[1]TDSheet!F83</f>
        <v>0</v>
      </c>
      <c r="G82" t="str">
        <f>[1]TDSheet!G83</f>
        <v>Иностранный паспорт</v>
      </c>
      <c r="H82" t="str">
        <f>[1]TDSheet!H83</f>
        <v>Серия</v>
      </c>
      <c r="I82">
        <f>[1]TDSheet!I83</f>
        <v>0</v>
      </c>
      <c r="J82" t="str">
        <f>[1]TDSheet!J83</f>
        <v>Номер</v>
      </c>
      <c r="K82">
        <f>[1]TDSheet!K83</f>
        <v>402142440</v>
      </c>
      <c r="L82" t="str">
        <f>[1]TDSheet!L83</f>
        <v>Выдан</v>
      </c>
      <c r="M82" t="str">
        <f>TEXT([1]TDSheet!M83,"ДД.ММ.ГГГГ")</f>
        <v>02.07.2018</v>
      </c>
      <c r="N82" t="str">
        <f>[1]TDSheet!N83</f>
        <v>МВД г. Бохтар</v>
      </c>
      <c r="O82">
        <f>[1]TDSheet!O83</f>
        <v>0</v>
      </c>
      <c r="P82" t="str">
        <f>[1]TDSheet!P83</f>
        <v>Серия  Номер 402142440,Выдан 02.07.2018 МВД г. Бохтар</v>
      </c>
      <c r="Q82" t="str">
        <f>[1]TDSheet!Q83</f>
        <v>г. Москва Бутово ул. Брусилова д.41</v>
      </c>
      <c r="R82" t="str">
        <f>[1]TDSheet!R83</f>
        <v>г. Москва Бутово ул. Брусилова д.41</v>
      </c>
      <c r="S82" t="str">
        <f>[1]TDSheet!S83</f>
        <v>Патент: серия 77 № 2106541268 от21.01.2022  Отдел внешней трудовой миграции УВМ ГУ МВД России по г. Москве</v>
      </c>
      <c r="T82">
        <f>[1]TDSheet!T83</f>
        <v>0</v>
      </c>
      <c r="U82">
        <f>[1]TDSheet!U83</f>
        <v>0</v>
      </c>
      <c r="V82">
        <f>[1]TDSheet!V83</f>
        <v>0</v>
      </c>
      <c r="W82">
        <f>[1]TDSheet!W83</f>
        <v>0</v>
      </c>
      <c r="X82">
        <f>[1]TDSheet!X83</f>
        <v>0</v>
      </c>
      <c r="Y82">
        <f>[1]TDSheet!Y83</f>
        <v>0</v>
      </c>
      <c r="Z82">
        <f>[1]TDSheet!Z83</f>
        <v>44676</v>
      </c>
      <c r="AA82" t="str">
        <f>[1]TDSheet!AA83</f>
        <v>25/04-59_22</v>
      </c>
      <c r="AB82">
        <f>[1]TDSheet!AB83</f>
        <v>0</v>
      </c>
      <c r="AC82">
        <f>[1]TDSheet!AC83</f>
        <v>0</v>
      </c>
      <c r="AD82">
        <f>[1]TDSheet!AD83</f>
        <v>0</v>
      </c>
      <c r="AE82">
        <f>[1]TDSheet!AE83</f>
        <v>0</v>
      </c>
      <c r="AF82">
        <f>[1]TDSheet!AF83</f>
        <v>0</v>
      </c>
      <c r="AG82">
        <f>[1]TDSheet!AG83</f>
        <v>0</v>
      </c>
      <c r="AH82">
        <f>[1]TDSheet!AH83</f>
        <v>0</v>
      </c>
      <c r="AI82">
        <f>[1]TDSheet!AI83</f>
        <v>0</v>
      </c>
      <c r="AJ82">
        <f>[1]TDSheet!AJ83</f>
        <v>0</v>
      </c>
      <c r="AK82">
        <f>[1]TDSheet!AK83</f>
        <v>0</v>
      </c>
      <c r="AL82">
        <f>[1]TDSheet!AL83</f>
        <v>0</v>
      </c>
      <c r="AM82">
        <f>[1]TDSheet!AM83</f>
        <v>0</v>
      </c>
      <c r="AN82">
        <f>[1]TDSheet!AN83</f>
        <v>0</v>
      </c>
      <c r="AO82">
        <f>[1]TDSheet!AO83</f>
        <v>0</v>
      </c>
      <c r="AP82">
        <f>[1]TDSheet!AP83</f>
        <v>0</v>
      </c>
      <c r="AQ82">
        <f>[1]TDSheet!AQ83</f>
        <v>0</v>
      </c>
      <c r="AR82">
        <f>[1]TDSheet!AR83</f>
        <v>0</v>
      </c>
      <c r="AS82">
        <f>[1]TDSheet!AS83</f>
        <v>0</v>
      </c>
      <c r="AT82">
        <f>[1]TDSheet!AT83</f>
        <v>0</v>
      </c>
      <c r="AU82">
        <f>[1]TDSheet!AU83</f>
        <v>0</v>
      </c>
      <c r="AV82">
        <f>[1]TDSheet!AV83</f>
        <v>0</v>
      </c>
      <c r="AW82">
        <f>[1]TDSheet!AW83</f>
        <v>0</v>
      </c>
      <c r="AX82">
        <f>[1]TDSheet!AX83</f>
        <v>0</v>
      </c>
      <c r="AY82">
        <f>[1]TDSheet!AY83</f>
        <v>0</v>
      </c>
      <c r="AZ82">
        <f>[1]TDSheet!AZ83</f>
        <v>0</v>
      </c>
      <c r="BA82">
        <f>[1]TDSheet!BA83</f>
        <v>0</v>
      </c>
      <c r="BB82">
        <f>[1]TDSheet!BB83</f>
        <v>0</v>
      </c>
      <c r="BC82">
        <f>[1]TDSheet!BC83</f>
        <v>0</v>
      </c>
      <c r="BD82">
        <f>[1]TDSheet!BD83</f>
        <v>0</v>
      </c>
      <c r="BE82">
        <f>[1]TDSheet!BE83</f>
        <v>0</v>
      </c>
    </row>
    <row r="83" spans="1:57" x14ac:dyDescent="0.25">
      <c r="A83" t="str">
        <f>[1]TDSheet!A84</f>
        <v>Халилов Муборакшо Алимардонович</v>
      </c>
      <c r="B83" t="str">
        <f>[1]TDSheet!B84</f>
        <v>Подсобный рабочий</v>
      </c>
      <c r="C83" t="str">
        <f>TEXT([1]TDSheet!C84,"ДД.ММ.ГГГГ")</f>
        <v>10.02.2023</v>
      </c>
      <c r="D83" t="str">
        <f>[1]TDSheet!D84</f>
        <v>ТАДЖИКИСТАН</v>
      </c>
      <c r="E83">
        <f>[1]TDSheet!E84</f>
        <v>0</v>
      </c>
      <c r="F83">
        <f>[1]TDSheet!F84</f>
        <v>0</v>
      </c>
      <c r="G83" t="str">
        <f>[1]TDSheet!G84</f>
        <v>Иностранный паспорт</v>
      </c>
      <c r="H83" t="str">
        <f>[1]TDSheet!H84</f>
        <v>Серия</v>
      </c>
      <c r="I83">
        <f>[1]TDSheet!I84</f>
        <v>0</v>
      </c>
      <c r="J83" t="str">
        <f>[1]TDSheet!J84</f>
        <v>Номер</v>
      </c>
      <c r="K83">
        <f>[1]TDSheet!K84</f>
        <v>403404735</v>
      </c>
      <c r="L83" t="str">
        <f>[1]TDSheet!L84</f>
        <v>Выдан</v>
      </c>
      <c r="M83" t="str">
        <f>TEXT([1]TDSheet!M84,"ДД.ММ.ГГГГ")</f>
        <v>00.01.1900</v>
      </c>
      <c r="N83">
        <f>[1]TDSheet!N84</f>
        <v>0</v>
      </c>
      <c r="O83">
        <f>[1]TDSheet!O84</f>
        <v>0</v>
      </c>
      <c r="P83" t="str">
        <f>[1]TDSheet!P84</f>
        <v xml:space="preserve">Серия  Номер 403404735,Выдан 00.01.1900 </v>
      </c>
      <c r="Q83" t="str">
        <f>[1]TDSheet!Q84</f>
        <v>г.Москва, Силикатный проезд 19/2 стр 28 комната 303</v>
      </c>
      <c r="R83" t="str">
        <f>[1]TDSheet!R84</f>
        <v>г.Москва, Силикатный проезд 19/2 стр 28 комната 303</v>
      </c>
      <c r="S83" t="str">
        <f>[1]TDSheet!S84</f>
        <v>Патент: серия 77 № 2105392260 от21.01.2022  Отдел внешней трудовой миграции УВМ ГУ МВД России по г. Москве</v>
      </c>
      <c r="T83">
        <f>[1]TDSheet!T84</f>
        <v>0</v>
      </c>
      <c r="U83">
        <f>[1]TDSheet!U84</f>
        <v>0</v>
      </c>
      <c r="V83">
        <f>[1]TDSheet!V84</f>
        <v>0</v>
      </c>
      <c r="W83">
        <f>[1]TDSheet!W84</f>
        <v>0</v>
      </c>
      <c r="X83">
        <f>[1]TDSheet!X84</f>
        <v>0</v>
      </c>
      <c r="Y83">
        <f>[1]TDSheet!Y84</f>
        <v>0</v>
      </c>
      <c r="Z83">
        <f>[1]TDSheet!Z84</f>
        <v>44676</v>
      </c>
      <c r="AA83" t="str">
        <f>[1]TDSheet!AA84</f>
        <v>25/04-60_22</v>
      </c>
      <c r="AB83">
        <f>[1]TDSheet!AB84</f>
        <v>0</v>
      </c>
      <c r="AC83">
        <f>[1]TDSheet!AC84</f>
        <v>0</v>
      </c>
      <c r="AD83">
        <f>[1]TDSheet!AD84</f>
        <v>0</v>
      </c>
      <c r="AE83">
        <f>[1]TDSheet!AE84</f>
        <v>0</v>
      </c>
      <c r="AF83">
        <f>[1]TDSheet!AF84</f>
        <v>0</v>
      </c>
      <c r="AG83">
        <f>[1]TDSheet!AG84</f>
        <v>0</v>
      </c>
      <c r="AH83">
        <f>[1]TDSheet!AH84</f>
        <v>0</v>
      </c>
      <c r="AI83">
        <f>[1]TDSheet!AI84</f>
        <v>0</v>
      </c>
      <c r="AJ83">
        <f>[1]TDSheet!AJ84</f>
        <v>0</v>
      </c>
      <c r="AK83">
        <f>[1]TDSheet!AK84</f>
        <v>0</v>
      </c>
      <c r="AL83">
        <f>[1]TDSheet!AL84</f>
        <v>0</v>
      </c>
      <c r="AM83">
        <f>[1]TDSheet!AM84</f>
        <v>0</v>
      </c>
      <c r="AN83">
        <f>[1]TDSheet!AN84</f>
        <v>0</v>
      </c>
      <c r="AO83">
        <f>[1]TDSheet!AO84</f>
        <v>0</v>
      </c>
      <c r="AP83">
        <f>[1]TDSheet!AP84</f>
        <v>0</v>
      </c>
      <c r="AQ83">
        <f>[1]TDSheet!AQ84</f>
        <v>0</v>
      </c>
      <c r="AR83">
        <f>[1]TDSheet!AR84</f>
        <v>0</v>
      </c>
      <c r="AS83">
        <f>[1]TDSheet!AS84</f>
        <v>0</v>
      </c>
      <c r="AT83">
        <f>[1]TDSheet!AT84</f>
        <v>0</v>
      </c>
      <c r="AU83">
        <f>[1]TDSheet!AU84</f>
        <v>0</v>
      </c>
      <c r="AV83">
        <f>[1]TDSheet!AV84</f>
        <v>0</v>
      </c>
      <c r="AW83">
        <f>[1]TDSheet!AW84</f>
        <v>0</v>
      </c>
      <c r="AX83">
        <f>[1]TDSheet!AX84</f>
        <v>0</v>
      </c>
      <c r="AY83">
        <f>[1]TDSheet!AY84</f>
        <v>0</v>
      </c>
      <c r="AZ83">
        <f>[1]TDSheet!AZ84</f>
        <v>0</v>
      </c>
      <c r="BA83">
        <f>[1]TDSheet!BA84</f>
        <v>0</v>
      </c>
      <c r="BB83">
        <f>[1]TDSheet!BB84</f>
        <v>0</v>
      </c>
      <c r="BC83">
        <f>[1]TDSheet!BC84</f>
        <v>0</v>
      </c>
      <c r="BD83">
        <f>[1]TDSheet!BD84</f>
        <v>0</v>
      </c>
      <c r="BE83">
        <f>[1]TDSheet!BE84</f>
        <v>0</v>
      </c>
    </row>
    <row r="84" spans="1:57" x14ac:dyDescent="0.25">
      <c r="A84" t="str">
        <f>[1]TDSheet!A85</f>
        <v>Запорожан Алексей Иванович</v>
      </c>
      <c r="B84" t="str">
        <f>[1]TDSheet!B85</f>
        <v>Стяжечник</v>
      </c>
      <c r="C84" t="str">
        <f>TEXT([1]TDSheet!C85,"ДД.ММ.ГГГГ")</f>
        <v>19.06.1965</v>
      </c>
      <c r="D84" t="str">
        <f>[1]TDSheet!D85</f>
        <v>РОССИЯ</v>
      </c>
      <c r="E84">
        <f>[1]TDSheet!E85</f>
        <v>0</v>
      </c>
      <c r="F84">
        <f>[1]TDSheet!F85</f>
        <v>0</v>
      </c>
      <c r="G84" t="str">
        <f>[1]TDSheet!G85</f>
        <v>Паспорт гражданина РФ</v>
      </c>
      <c r="H84" t="str">
        <f>[1]TDSheet!H85</f>
        <v>Серия</v>
      </c>
      <c r="I84">
        <f>[1]TDSheet!I85</f>
        <v>1910</v>
      </c>
      <c r="J84" t="str">
        <f>[1]TDSheet!J85</f>
        <v>Номер</v>
      </c>
      <c r="K84">
        <f>[1]TDSheet!K85</f>
        <v>699054</v>
      </c>
      <c r="L84" t="str">
        <f>[1]TDSheet!L85</f>
        <v>Выдан</v>
      </c>
      <c r="M84" t="str">
        <f>TEXT([1]TDSheet!M85,"ДД.ММ.ГГГГ")</f>
        <v>21.07.2010</v>
      </c>
      <c r="N84" t="str">
        <f>[1]TDSheet!N85</f>
        <v>Отделением УФМС России по Вологодской области в Тотемском районе</v>
      </c>
      <c r="O84">
        <f>[1]TDSheet!O85</f>
        <v>0</v>
      </c>
      <c r="P84" t="str">
        <f>[1]TDSheet!P85</f>
        <v>Серия 1910 Номер 699054,Выдан 21.07.2010 Отделением УФМС России по Вологодской области в Тотемском районе</v>
      </c>
      <c r="Q84" t="str">
        <f>[1]TDSheet!Q85</f>
        <v>Вологодская обл. Тотемский р-н., пос. Советский, ул. Садовая, д.18, кв. 4</v>
      </c>
      <c r="R84" t="str">
        <f>[1]TDSheet!R85</f>
        <v>Вологодская обл. Тотемский р-н., пос. Советский, ул. Садовая, д.18, кв. 4</v>
      </c>
      <c r="S84">
        <f>[1]TDSheet!S85</f>
        <v>0</v>
      </c>
      <c r="T84">
        <f>[1]TDSheet!T85</f>
        <v>0</v>
      </c>
      <c r="U84">
        <f>[1]TDSheet!U85</f>
        <v>0</v>
      </c>
      <c r="V84">
        <f>[1]TDSheet!V85</f>
        <v>0</v>
      </c>
      <c r="W84">
        <f>[1]TDSheet!W85</f>
        <v>0</v>
      </c>
      <c r="X84">
        <f>[1]TDSheet!X85</f>
        <v>0</v>
      </c>
      <c r="Y84">
        <f>[1]TDSheet!Y85</f>
        <v>0</v>
      </c>
      <c r="Z84">
        <f>[1]TDSheet!Z85</f>
        <v>44657</v>
      </c>
      <c r="AA84" t="str">
        <f>[1]TDSheet!AA85</f>
        <v>06/04-47_2022</v>
      </c>
      <c r="AB84">
        <f>[1]TDSheet!AB85</f>
        <v>0</v>
      </c>
      <c r="AC84">
        <f>[1]TDSheet!AC85</f>
        <v>0</v>
      </c>
      <c r="AD84">
        <f>[1]TDSheet!AD85</f>
        <v>0</v>
      </c>
      <c r="AE84">
        <f>[1]TDSheet!AE85</f>
        <v>0</v>
      </c>
      <c r="AF84">
        <f>[1]TDSheet!AF85</f>
        <v>0</v>
      </c>
      <c r="AG84">
        <f>[1]TDSheet!AG85</f>
        <v>0</v>
      </c>
      <c r="AH84">
        <f>[1]TDSheet!AH85</f>
        <v>0</v>
      </c>
      <c r="AI84">
        <f>[1]TDSheet!AI85</f>
        <v>0</v>
      </c>
      <c r="AJ84">
        <f>[1]TDSheet!AJ85</f>
        <v>0</v>
      </c>
      <c r="AK84">
        <f>[1]TDSheet!AK85</f>
        <v>0</v>
      </c>
      <c r="AL84">
        <f>[1]TDSheet!AL85</f>
        <v>0</v>
      </c>
      <c r="AM84">
        <f>[1]TDSheet!AM85</f>
        <v>0</v>
      </c>
      <c r="AN84">
        <f>[1]TDSheet!AN85</f>
        <v>0</v>
      </c>
      <c r="AO84">
        <f>[1]TDSheet!AO85</f>
        <v>0</v>
      </c>
      <c r="AP84">
        <f>[1]TDSheet!AP85</f>
        <v>0</v>
      </c>
      <c r="AQ84">
        <f>[1]TDSheet!AQ85</f>
        <v>0</v>
      </c>
      <c r="AR84">
        <f>[1]TDSheet!AR85</f>
        <v>0</v>
      </c>
      <c r="AS84">
        <f>[1]TDSheet!AS85</f>
        <v>0</v>
      </c>
      <c r="AT84">
        <f>[1]TDSheet!AT85</f>
        <v>0</v>
      </c>
      <c r="AU84">
        <f>[1]TDSheet!AU85</f>
        <v>0</v>
      </c>
      <c r="AV84">
        <f>[1]TDSheet!AV85</f>
        <v>0</v>
      </c>
      <c r="AW84">
        <f>[1]TDSheet!AW85</f>
        <v>0</v>
      </c>
      <c r="AX84">
        <f>[1]TDSheet!AX85</f>
        <v>0</v>
      </c>
      <c r="AY84">
        <f>[1]TDSheet!AY85</f>
        <v>0</v>
      </c>
      <c r="AZ84">
        <f>[1]TDSheet!AZ85</f>
        <v>0</v>
      </c>
      <c r="BA84">
        <f>[1]TDSheet!BA85</f>
        <v>0</v>
      </c>
      <c r="BB84">
        <f>[1]TDSheet!BB85</f>
        <v>0</v>
      </c>
      <c r="BC84">
        <f>[1]TDSheet!BC85</f>
        <v>0</v>
      </c>
      <c r="BD84">
        <f>[1]TDSheet!BD85</f>
        <v>0</v>
      </c>
      <c r="BE84">
        <f>[1]TDSheet!BE85</f>
        <v>0</v>
      </c>
    </row>
    <row r="85" spans="1:57" x14ac:dyDescent="0.25">
      <c r="A85" t="str">
        <f>[1]TDSheet!A86</f>
        <v>Полянских Александр Иванович</v>
      </c>
      <c r="B85" t="str">
        <f>[1]TDSheet!B86</f>
        <v>Стяжечник</v>
      </c>
      <c r="C85" t="str">
        <f>TEXT([1]TDSheet!C86,"ДД.ММ.ГГГГ")</f>
        <v>17.02.1990</v>
      </c>
      <c r="D85" t="str">
        <f>[1]TDSheet!D86</f>
        <v>РОССИЯ</v>
      </c>
      <c r="E85">
        <f>[1]TDSheet!E86</f>
        <v>0</v>
      </c>
      <c r="F85">
        <f>[1]TDSheet!F86</f>
        <v>0</v>
      </c>
      <c r="G85" t="str">
        <f>[1]TDSheet!G86</f>
        <v>Паспорт гражданина РФ</v>
      </c>
      <c r="H85" t="str">
        <f>[1]TDSheet!H86</f>
        <v>Серия</v>
      </c>
      <c r="I85">
        <f>[1]TDSheet!I86</f>
        <v>4209</v>
      </c>
      <c r="J85" t="str">
        <f>[1]TDSheet!J86</f>
        <v>Номер</v>
      </c>
      <c r="K85">
        <f>[1]TDSheet!K86</f>
        <v>600424</v>
      </c>
      <c r="L85" t="str">
        <f>[1]TDSheet!L86</f>
        <v>Выдан</v>
      </c>
      <c r="M85" t="str">
        <f>TEXT([1]TDSheet!M86,"ДД.ММ.ГГГГ")</f>
        <v>17.03.2010</v>
      </c>
      <c r="N85" t="str">
        <f>[1]TDSheet!N86</f>
        <v>территориальным пунктом уфмс россии по липецкой области в долгопрудном районе</v>
      </c>
      <c r="O85">
        <f>[1]TDSheet!O86</f>
        <v>0</v>
      </c>
      <c r="P85" t="str">
        <f>[1]TDSheet!P86</f>
        <v>Серия 4209 Номер 600424,Выдан 17.03.2010 территориальным пунктом уфмс россии по липецкой области в долгопрудном районе</v>
      </c>
      <c r="Q85" t="str">
        <f>[1]TDSheet!Q86</f>
        <v>г.Липецк Октябрьский район ул.Юбилейная д.7 кв.21</v>
      </c>
      <c r="R85" t="str">
        <f>[1]TDSheet!R86</f>
        <v>г.Липецк Октябрьский район ул.Юбилейная д.7 кв.21</v>
      </c>
      <c r="S85">
        <f>[1]TDSheet!S86</f>
        <v>0</v>
      </c>
      <c r="T85">
        <f>[1]TDSheet!T86</f>
        <v>0</v>
      </c>
      <c r="U85">
        <f>[1]TDSheet!U86</f>
        <v>0</v>
      </c>
      <c r="V85">
        <f>[1]TDSheet!V86</f>
        <v>0</v>
      </c>
      <c r="W85">
        <f>[1]TDSheet!W86</f>
        <v>0</v>
      </c>
      <c r="X85">
        <f>[1]TDSheet!X86</f>
        <v>0</v>
      </c>
      <c r="Y85">
        <f>[1]TDSheet!Y86</f>
        <v>0</v>
      </c>
      <c r="Z85">
        <f>[1]TDSheet!Z86</f>
        <v>44658</v>
      </c>
      <c r="AA85" t="str">
        <f>[1]TDSheet!AA86</f>
        <v>07/04-49_2022</v>
      </c>
      <c r="AB85">
        <f>[1]TDSheet!AB86</f>
        <v>0</v>
      </c>
      <c r="AC85">
        <f>[1]TDSheet!AC86</f>
        <v>0</v>
      </c>
      <c r="AD85">
        <f>[1]TDSheet!AD86</f>
        <v>0</v>
      </c>
      <c r="AE85">
        <f>[1]TDSheet!AE86</f>
        <v>0</v>
      </c>
      <c r="AF85">
        <f>[1]TDSheet!AF86</f>
        <v>0</v>
      </c>
      <c r="AG85">
        <f>[1]TDSheet!AG86</f>
        <v>0</v>
      </c>
      <c r="AH85">
        <f>[1]TDSheet!AH86</f>
        <v>0</v>
      </c>
      <c r="AI85">
        <f>[1]TDSheet!AI86</f>
        <v>0</v>
      </c>
      <c r="AJ85">
        <f>[1]TDSheet!AJ86</f>
        <v>0</v>
      </c>
      <c r="AK85">
        <f>[1]TDSheet!AK86</f>
        <v>0</v>
      </c>
      <c r="AL85">
        <f>[1]TDSheet!AL86</f>
        <v>0</v>
      </c>
      <c r="AM85">
        <f>[1]TDSheet!AM86</f>
        <v>0</v>
      </c>
      <c r="AN85">
        <f>[1]TDSheet!AN86</f>
        <v>0</v>
      </c>
      <c r="AO85">
        <f>[1]TDSheet!AO86</f>
        <v>0</v>
      </c>
      <c r="AP85">
        <f>[1]TDSheet!AP86</f>
        <v>0</v>
      </c>
      <c r="AQ85">
        <f>[1]TDSheet!AQ86</f>
        <v>0</v>
      </c>
      <c r="AR85">
        <f>[1]TDSheet!AR86</f>
        <v>0</v>
      </c>
      <c r="AS85">
        <f>[1]TDSheet!AS86</f>
        <v>0</v>
      </c>
      <c r="AT85">
        <f>[1]TDSheet!AT86</f>
        <v>0</v>
      </c>
      <c r="AU85">
        <f>[1]TDSheet!AU86</f>
        <v>0</v>
      </c>
      <c r="AV85">
        <f>[1]TDSheet!AV86</f>
        <v>0</v>
      </c>
      <c r="AW85">
        <f>[1]TDSheet!AW86</f>
        <v>0</v>
      </c>
      <c r="AX85">
        <f>[1]TDSheet!AX86</f>
        <v>0</v>
      </c>
      <c r="AY85">
        <f>[1]TDSheet!AY86</f>
        <v>0</v>
      </c>
      <c r="AZ85">
        <f>[1]TDSheet!AZ86</f>
        <v>0</v>
      </c>
      <c r="BA85">
        <f>[1]TDSheet!BA86</f>
        <v>0</v>
      </c>
      <c r="BB85">
        <f>[1]TDSheet!BB86</f>
        <v>0</v>
      </c>
      <c r="BC85">
        <f>[1]TDSheet!BC86</f>
        <v>0</v>
      </c>
      <c r="BD85">
        <f>[1]TDSheet!BD86</f>
        <v>0</v>
      </c>
      <c r="BE85">
        <f>[1]TDSheet!BE86</f>
        <v>0</v>
      </c>
    </row>
    <row r="86" spans="1:57" x14ac:dyDescent="0.25">
      <c r="A86" t="str">
        <f>[1]TDSheet!A87</f>
        <v>Рыбаков Игорь Вячеславович</v>
      </c>
      <c r="B86" t="str">
        <f>[1]TDSheet!B87</f>
        <v>Стяжечник</v>
      </c>
      <c r="C86" t="str">
        <f>TEXT([1]TDSheet!C87,"ДД.ММ.ГГГГ")</f>
        <v>23.12.1991</v>
      </c>
      <c r="D86" t="str">
        <f>[1]TDSheet!D87</f>
        <v>РОССИЯ</v>
      </c>
      <c r="E86">
        <f>[1]TDSheet!E87</f>
        <v>0</v>
      </c>
      <c r="F86">
        <f>[1]TDSheet!F87</f>
        <v>0</v>
      </c>
      <c r="G86" t="str">
        <f>[1]TDSheet!G87</f>
        <v>Паспорт гражданина РФ</v>
      </c>
      <c r="H86" t="str">
        <f>[1]TDSheet!H87</f>
        <v>Серия</v>
      </c>
      <c r="I86">
        <f>[1]TDSheet!I87</f>
        <v>3311</v>
      </c>
      <c r="J86" t="str">
        <f>[1]TDSheet!J87</f>
        <v>Номер</v>
      </c>
      <c r="K86">
        <f>[1]TDSheet!K87</f>
        <v>120117</v>
      </c>
      <c r="L86" t="str">
        <f>[1]TDSheet!L87</f>
        <v>Выдан</v>
      </c>
      <c r="M86" t="str">
        <f>TEXT([1]TDSheet!M87,"ДД.ММ.ГГГГ")</f>
        <v>04.01.2012</v>
      </c>
      <c r="N86" t="str">
        <f>[1]TDSheet!N87</f>
        <v>ТП УФМС России по Кировкой области в Санчурском районе,</v>
      </c>
      <c r="O86">
        <f>[1]TDSheet!O87</f>
        <v>0</v>
      </c>
      <c r="P86" t="str">
        <f>[1]TDSheet!P87</f>
        <v>Серия 3311 Номер 120117,Выдан 04.01.2012 ТП УФМС России по Кировкой области в Санчурском районе,</v>
      </c>
      <c r="Q86" t="str">
        <f>[1]TDSheet!Q87</f>
        <v>Кировская область, Санчурский район, пгт Санчурск, кл. Урицкого 43</v>
      </c>
      <c r="R86" t="str">
        <f>[1]TDSheet!R87</f>
        <v>Кировская область, Санчурский район, пгт Санчурск, кл. Урицкого 43</v>
      </c>
      <c r="S86">
        <f>[1]TDSheet!S87</f>
        <v>0</v>
      </c>
      <c r="T86">
        <f>[1]TDSheet!T87</f>
        <v>0</v>
      </c>
      <c r="U86">
        <f>[1]TDSheet!U87</f>
        <v>0</v>
      </c>
      <c r="V86">
        <f>[1]TDSheet!V87</f>
        <v>0</v>
      </c>
      <c r="W86">
        <f>[1]TDSheet!W87</f>
        <v>0</v>
      </c>
      <c r="X86">
        <f>[1]TDSheet!X87</f>
        <v>0</v>
      </c>
      <c r="Y86">
        <f>[1]TDSheet!Y87</f>
        <v>0</v>
      </c>
      <c r="Z86">
        <f>[1]TDSheet!Z87</f>
        <v>44658</v>
      </c>
      <c r="AA86" t="str">
        <f>[1]TDSheet!AA87</f>
        <v>07/04-48_2022</v>
      </c>
      <c r="AB86">
        <f>[1]TDSheet!AB87</f>
        <v>0</v>
      </c>
      <c r="AC86">
        <f>[1]TDSheet!AC87</f>
        <v>0</v>
      </c>
      <c r="AD86">
        <f>[1]TDSheet!AD87</f>
        <v>0</v>
      </c>
      <c r="AE86">
        <f>[1]TDSheet!AE87</f>
        <v>0</v>
      </c>
      <c r="AF86">
        <f>[1]TDSheet!AF87</f>
        <v>0</v>
      </c>
      <c r="AG86">
        <f>[1]TDSheet!AG87</f>
        <v>0</v>
      </c>
      <c r="AH86">
        <f>[1]TDSheet!AH87</f>
        <v>0</v>
      </c>
      <c r="AI86">
        <f>[1]TDSheet!AI87</f>
        <v>0</v>
      </c>
      <c r="AJ86">
        <f>[1]TDSheet!AJ87</f>
        <v>0</v>
      </c>
      <c r="AK86">
        <f>[1]TDSheet!AK87</f>
        <v>0</v>
      </c>
      <c r="AL86">
        <f>[1]TDSheet!AL87</f>
        <v>0</v>
      </c>
      <c r="AM86">
        <f>[1]TDSheet!AM87</f>
        <v>0</v>
      </c>
      <c r="AN86">
        <f>[1]TDSheet!AN87</f>
        <v>0</v>
      </c>
      <c r="AO86">
        <f>[1]TDSheet!AO87</f>
        <v>0</v>
      </c>
      <c r="AP86">
        <f>[1]TDSheet!AP87</f>
        <v>0</v>
      </c>
      <c r="AQ86">
        <f>[1]TDSheet!AQ87</f>
        <v>0</v>
      </c>
      <c r="AR86">
        <f>[1]TDSheet!AR87</f>
        <v>0</v>
      </c>
      <c r="AS86">
        <f>[1]TDSheet!AS87</f>
        <v>0</v>
      </c>
      <c r="AT86">
        <f>[1]TDSheet!AT87</f>
        <v>0</v>
      </c>
      <c r="AU86">
        <f>[1]TDSheet!AU87</f>
        <v>0</v>
      </c>
      <c r="AV86">
        <f>[1]TDSheet!AV87</f>
        <v>0</v>
      </c>
      <c r="AW86">
        <f>[1]TDSheet!AW87</f>
        <v>0</v>
      </c>
      <c r="AX86">
        <f>[1]TDSheet!AX87</f>
        <v>0</v>
      </c>
      <c r="AY86">
        <f>[1]TDSheet!AY87</f>
        <v>0</v>
      </c>
      <c r="AZ86">
        <f>[1]TDSheet!AZ87</f>
        <v>0</v>
      </c>
      <c r="BA86">
        <f>[1]TDSheet!BA87</f>
        <v>0</v>
      </c>
      <c r="BB86">
        <f>[1]TDSheet!BB87</f>
        <v>0</v>
      </c>
      <c r="BC86">
        <f>[1]TDSheet!BC87</f>
        <v>0</v>
      </c>
      <c r="BD86">
        <f>[1]TDSheet!BD87</f>
        <v>0</v>
      </c>
      <c r="BE86">
        <f>[1]TDSheet!BE87</f>
        <v>0</v>
      </c>
    </row>
    <row r="87" spans="1:57" x14ac:dyDescent="0.25">
      <c r="A87" t="str">
        <f>[1]TDSheet!A88</f>
        <v>Ласунин Владимир Васильевич</v>
      </c>
      <c r="B87" t="str">
        <f>[1]TDSheet!B88</f>
        <v>Стяжечник</v>
      </c>
      <c r="C87" t="str">
        <f>TEXT([1]TDSheet!C88,"ДД.ММ.ГГГГ")</f>
        <v>01.09.1991</v>
      </c>
      <c r="D87" t="str">
        <f>[1]TDSheet!D88</f>
        <v>РОССИЯ</v>
      </c>
      <c r="E87">
        <f>[1]TDSheet!E88</f>
        <v>0</v>
      </c>
      <c r="F87">
        <f>[1]TDSheet!F88</f>
        <v>0</v>
      </c>
      <c r="G87" t="str">
        <f>[1]TDSheet!G88</f>
        <v>Паспорт гражданина РФ</v>
      </c>
      <c r="H87" t="str">
        <f>[1]TDSheet!H88</f>
        <v>Серия</v>
      </c>
      <c r="I87">
        <f>[1]TDSheet!I88</f>
        <v>6318</v>
      </c>
      <c r="J87" t="str">
        <f>[1]TDSheet!J88</f>
        <v>Номер</v>
      </c>
      <c r="K87">
        <f>[1]TDSheet!K88</f>
        <v>516967</v>
      </c>
      <c r="L87" t="str">
        <f>[1]TDSheet!L88</f>
        <v>Выдан</v>
      </c>
      <c r="M87" t="str">
        <f>TEXT([1]TDSheet!M88,"ДД.ММ.ГГГГ")</f>
        <v>28.07.2018</v>
      </c>
      <c r="N87" t="str">
        <f>[1]TDSheet!N88</f>
        <v xml:space="preserve">ГУ МВД России по Саратовской области </v>
      </c>
      <c r="O87">
        <f>[1]TDSheet!O88</f>
        <v>0</v>
      </c>
      <c r="P87" t="str">
        <f>[1]TDSheet!P88</f>
        <v xml:space="preserve">Серия 6318 Номер 516967,Выдан 28.07.2018 ГУ МВД России по Саратовской области </v>
      </c>
      <c r="Q87" t="str">
        <f>[1]TDSheet!Q88</f>
        <v>Саратовская область, Балашовский район с. Малый мелик ул.садовая д.11</v>
      </c>
      <c r="R87" t="str">
        <f>[1]TDSheet!R88</f>
        <v>Саратовская область, Балашовский район с. Малый мелик ул.садовая д.11</v>
      </c>
      <c r="S87">
        <f>[1]TDSheet!S88</f>
        <v>0</v>
      </c>
      <c r="T87">
        <f>[1]TDSheet!T88</f>
        <v>0</v>
      </c>
      <c r="U87">
        <f>[1]TDSheet!U88</f>
        <v>0</v>
      </c>
      <c r="V87">
        <f>[1]TDSheet!V88</f>
        <v>0</v>
      </c>
      <c r="W87">
        <f>[1]TDSheet!W88</f>
        <v>0</v>
      </c>
      <c r="X87">
        <f>[1]TDSheet!X88</f>
        <v>0</v>
      </c>
      <c r="Y87">
        <f>[1]TDSheet!Y88</f>
        <v>0</v>
      </c>
      <c r="Z87">
        <f>[1]TDSheet!Z88</f>
        <v>44649</v>
      </c>
      <c r="AA87" t="str">
        <f>[1]TDSheet!AA88</f>
        <v>29/03-46_2022</v>
      </c>
      <c r="AB87">
        <f>[1]TDSheet!AB88</f>
        <v>0</v>
      </c>
      <c r="AC87">
        <f>[1]TDSheet!AC88</f>
        <v>0</v>
      </c>
      <c r="AD87">
        <f>[1]TDSheet!AD88</f>
        <v>0</v>
      </c>
      <c r="AE87">
        <f>[1]TDSheet!AE88</f>
        <v>0</v>
      </c>
      <c r="AF87">
        <f>[1]TDSheet!AF88</f>
        <v>0</v>
      </c>
      <c r="AG87">
        <f>[1]TDSheet!AG88</f>
        <v>0</v>
      </c>
      <c r="AH87">
        <f>[1]TDSheet!AH88</f>
        <v>0</v>
      </c>
      <c r="AI87">
        <f>[1]TDSheet!AI88</f>
        <v>0</v>
      </c>
      <c r="AJ87">
        <f>[1]TDSheet!AJ88</f>
        <v>0</v>
      </c>
      <c r="AK87">
        <f>[1]TDSheet!AK88</f>
        <v>0</v>
      </c>
      <c r="AL87">
        <f>[1]TDSheet!AL88</f>
        <v>0</v>
      </c>
      <c r="AM87">
        <f>[1]TDSheet!AM88</f>
        <v>0</v>
      </c>
      <c r="AN87">
        <f>[1]TDSheet!AN88</f>
        <v>0</v>
      </c>
      <c r="AO87">
        <f>[1]TDSheet!AO88</f>
        <v>0</v>
      </c>
      <c r="AP87">
        <f>[1]TDSheet!AP88</f>
        <v>0</v>
      </c>
      <c r="AQ87">
        <f>[1]TDSheet!AQ88</f>
        <v>0</v>
      </c>
      <c r="AR87">
        <f>[1]TDSheet!AR88</f>
        <v>0</v>
      </c>
      <c r="AS87">
        <f>[1]TDSheet!AS88</f>
        <v>0</v>
      </c>
      <c r="AT87">
        <f>[1]TDSheet!AT88</f>
        <v>0</v>
      </c>
      <c r="AU87">
        <f>[1]TDSheet!AU88</f>
        <v>0</v>
      </c>
      <c r="AV87">
        <f>[1]TDSheet!AV88</f>
        <v>0</v>
      </c>
      <c r="AW87">
        <f>[1]TDSheet!AW88</f>
        <v>0</v>
      </c>
      <c r="AX87">
        <f>[1]TDSheet!AX88</f>
        <v>0</v>
      </c>
      <c r="AY87">
        <f>[1]TDSheet!AY88</f>
        <v>0</v>
      </c>
      <c r="AZ87">
        <f>[1]TDSheet!AZ88</f>
        <v>0</v>
      </c>
      <c r="BA87">
        <f>[1]TDSheet!BA88</f>
        <v>0</v>
      </c>
      <c r="BB87">
        <f>[1]TDSheet!BB88</f>
        <v>0</v>
      </c>
      <c r="BC87">
        <f>[1]TDSheet!BC88</f>
        <v>0</v>
      </c>
      <c r="BD87">
        <f>[1]TDSheet!BD88</f>
        <v>0</v>
      </c>
      <c r="BE87">
        <f>[1]TDSheet!BE88</f>
        <v>0</v>
      </c>
    </row>
    <row r="88" spans="1:57" x14ac:dyDescent="0.25">
      <c r="A88" t="str">
        <f>[1]TDSheet!A89</f>
        <v>Болтабоев Хурсандбек  Кучкарович</v>
      </c>
      <c r="B88" t="str">
        <f>[1]TDSheet!B89</f>
        <v>Стяжечник</v>
      </c>
      <c r="C88" t="str">
        <f>TEXT([1]TDSheet!C89,"ДД.ММ.ГГГГ")</f>
        <v>29.12.1977</v>
      </c>
      <c r="D88" t="str">
        <f>[1]TDSheet!D89</f>
        <v>УЗБЕКИСТАН</v>
      </c>
      <c r="E88">
        <f>[1]TDSheet!E89</f>
        <v>0</v>
      </c>
      <c r="F88">
        <f>[1]TDSheet!F89</f>
        <v>0</v>
      </c>
      <c r="G88" t="str">
        <f>[1]TDSheet!G89</f>
        <v>Иностранный паспорт</v>
      </c>
      <c r="H88" t="str">
        <f>[1]TDSheet!H89</f>
        <v>Серия</v>
      </c>
      <c r="I88" t="str">
        <f>[1]TDSheet!I89</f>
        <v>FA</v>
      </c>
      <c r="J88" t="str">
        <f>[1]TDSheet!J89</f>
        <v>Номер</v>
      </c>
      <c r="K88">
        <f>[1]TDSheet!K89</f>
        <v>1664254</v>
      </c>
      <c r="L88" t="str">
        <f>[1]TDSheet!L89</f>
        <v>Выдан</v>
      </c>
      <c r="M88" t="str">
        <f>TEXT([1]TDSheet!M89,"ДД.ММ.ГГГГ")</f>
        <v>04.01.2021</v>
      </c>
      <c r="N88">
        <f>[1]TDSheet!N89</f>
        <v>0</v>
      </c>
      <c r="O88">
        <f>[1]TDSheet!O89</f>
        <v>0</v>
      </c>
      <c r="P88" t="str">
        <f>[1]TDSheet!P89</f>
        <v xml:space="preserve">Серия FA Номер 1664254,Выдан 04.01.2021 </v>
      </c>
      <c r="Q88" t="str">
        <f>[1]TDSheet!Q89</f>
        <v>МО, Одинцовский р-н, р-п Новоивановское, ул. Западная 41Б</v>
      </c>
      <c r="R88" t="str">
        <f>[1]TDSheet!R89</f>
        <v>МО, Одинцовский р-н, р-п Новоивановское, ул. Западная 41Б</v>
      </c>
      <c r="S88" t="str">
        <f>[1]TDSheet!S89</f>
        <v>Патент: серия 77 № 2104425298 от 21.09.2021  Отдел внешней трудовой миграции УВМ ГУ МВД России по г. Москве</v>
      </c>
      <c r="T88">
        <f>[1]TDSheet!T89</f>
        <v>0</v>
      </c>
      <c r="U88">
        <f>[1]TDSheet!U89</f>
        <v>0</v>
      </c>
      <c r="V88">
        <f>[1]TDSheet!V89</f>
        <v>0</v>
      </c>
      <c r="W88">
        <f>[1]TDSheet!W89</f>
        <v>0</v>
      </c>
      <c r="X88">
        <f>[1]TDSheet!X89</f>
        <v>0</v>
      </c>
      <c r="Y88">
        <f>[1]TDSheet!Y89</f>
        <v>0</v>
      </c>
      <c r="Z88">
        <f>[1]TDSheet!Z89</f>
        <v>44585</v>
      </c>
      <c r="AA88" t="str">
        <f>[1]TDSheet!AA89</f>
        <v>24/01-15_2022</v>
      </c>
      <c r="AB88">
        <f>[1]TDSheet!AB89</f>
        <v>0</v>
      </c>
      <c r="AC88">
        <f>[1]TDSheet!AC89</f>
        <v>0</v>
      </c>
      <c r="AD88">
        <f>[1]TDSheet!AD89</f>
        <v>0</v>
      </c>
      <c r="AE88">
        <f>[1]TDSheet!AE89</f>
        <v>0</v>
      </c>
      <c r="AF88">
        <f>[1]TDSheet!AF89</f>
        <v>0</v>
      </c>
      <c r="AG88">
        <f>[1]TDSheet!AG89</f>
        <v>0</v>
      </c>
      <c r="AH88">
        <f>[1]TDSheet!AH89</f>
        <v>0</v>
      </c>
      <c r="AI88">
        <f>[1]TDSheet!AI89</f>
        <v>0</v>
      </c>
      <c r="AJ88">
        <f>[1]TDSheet!AJ89</f>
        <v>0</v>
      </c>
      <c r="AK88">
        <f>[1]TDSheet!AK89</f>
        <v>0</v>
      </c>
      <c r="AL88">
        <f>[1]TDSheet!AL89</f>
        <v>0</v>
      </c>
      <c r="AM88">
        <f>[1]TDSheet!AM89</f>
        <v>0</v>
      </c>
      <c r="AN88">
        <f>[1]TDSheet!AN89</f>
        <v>0</v>
      </c>
      <c r="AO88">
        <f>[1]TDSheet!AO89</f>
        <v>0</v>
      </c>
      <c r="AP88">
        <f>[1]TDSheet!AP89</f>
        <v>0</v>
      </c>
      <c r="AQ88">
        <f>[1]TDSheet!AQ89</f>
        <v>0</v>
      </c>
      <c r="AR88">
        <f>[1]TDSheet!AR89</f>
        <v>0</v>
      </c>
      <c r="AS88">
        <f>[1]TDSheet!AS89</f>
        <v>0</v>
      </c>
      <c r="AT88">
        <f>[1]TDSheet!AT89</f>
        <v>0</v>
      </c>
      <c r="AU88">
        <f>[1]TDSheet!AU89</f>
        <v>0</v>
      </c>
      <c r="AV88">
        <f>[1]TDSheet!AV89</f>
        <v>0</v>
      </c>
      <c r="AW88">
        <f>[1]TDSheet!AW89</f>
        <v>0</v>
      </c>
      <c r="AX88">
        <f>[1]TDSheet!AX89</f>
        <v>0</v>
      </c>
      <c r="AY88">
        <f>[1]TDSheet!AY89</f>
        <v>0</v>
      </c>
      <c r="AZ88">
        <f>[1]TDSheet!AZ89</f>
        <v>0</v>
      </c>
      <c r="BA88">
        <f>[1]TDSheet!BA89</f>
        <v>0</v>
      </c>
      <c r="BB88">
        <f>[1]TDSheet!BB89</f>
        <v>0</v>
      </c>
      <c r="BC88">
        <f>[1]TDSheet!BC89</f>
        <v>0</v>
      </c>
      <c r="BD88">
        <f>[1]TDSheet!BD89</f>
        <v>0</v>
      </c>
      <c r="BE88">
        <f>[1]TDSheet!BE89</f>
        <v>0</v>
      </c>
    </row>
    <row r="89" spans="1:57" x14ac:dyDescent="0.25">
      <c r="A89" t="str">
        <f>[1]TDSheet!A90</f>
        <v>Иванченко Юрий Николаевич</v>
      </c>
      <c r="B89" t="str">
        <f>[1]TDSheet!B90</f>
        <v>Подсобный рабочий</v>
      </c>
      <c r="C89" t="str">
        <f>TEXT([1]TDSheet!C90,"ДД.ММ.ГГГГ")</f>
        <v>23.05.1966</v>
      </c>
      <c r="D89" t="str">
        <f>[1]TDSheet!D90</f>
        <v>РОССИЯ</v>
      </c>
      <c r="E89">
        <f>[1]TDSheet!E90</f>
        <v>0</v>
      </c>
      <c r="F89">
        <f>[1]TDSheet!F90</f>
        <v>0</v>
      </c>
      <c r="G89" t="str">
        <f>[1]TDSheet!G90</f>
        <v>Паспорт гражданина РФ</v>
      </c>
      <c r="H89" t="str">
        <f>[1]TDSheet!H90</f>
        <v>Серия</v>
      </c>
      <c r="I89">
        <f>[1]TDSheet!I90</f>
        <v>6011</v>
      </c>
      <c r="J89" t="str">
        <f>[1]TDSheet!J90</f>
        <v>Номер</v>
      </c>
      <c r="K89">
        <f>[1]TDSheet!K90</f>
        <v>985343</v>
      </c>
      <c r="L89" t="str">
        <f>[1]TDSheet!L90</f>
        <v>Выдан</v>
      </c>
      <c r="M89" t="str">
        <f>TEXT([1]TDSheet!M90,"ДД.ММ.ГГГГ")</f>
        <v>05.07.2011</v>
      </c>
      <c r="N89" t="str">
        <f>[1]TDSheet!N90</f>
        <v>Межрайонным отделом России по Ростовской обасти в гор. Батайске</v>
      </c>
      <c r="O89">
        <f>[1]TDSheet!O90</f>
        <v>0</v>
      </c>
      <c r="P89" t="str">
        <f>[1]TDSheet!P90</f>
        <v>Серия 6011 Номер 985343,Выдан 05.07.2011 Межрайонным отделом России по Ростовской обасти в гор. Батайске</v>
      </c>
      <c r="Q89" t="str">
        <f>[1]TDSheet!Q90</f>
        <v>г. Батайск, ул. К. Цеткин, д. 129</v>
      </c>
      <c r="R89" t="str">
        <f>[1]TDSheet!R90</f>
        <v>г. Батайск, ул. К. Цеткин, д. 129</v>
      </c>
      <c r="S89">
        <f>[1]TDSheet!S90</f>
        <v>0</v>
      </c>
      <c r="T89">
        <f>[1]TDSheet!T90</f>
        <v>0</v>
      </c>
      <c r="U89">
        <f>[1]TDSheet!U90</f>
        <v>0</v>
      </c>
      <c r="V89">
        <f>[1]TDSheet!V90</f>
        <v>0</v>
      </c>
      <c r="W89">
        <f>[1]TDSheet!W90</f>
        <v>0</v>
      </c>
      <c r="X89">
        <f>[1]TDSheet!X90</f>
        <v>0</v>
      </c>
      <c r="Y89">
        <f>[1]TDSheet!Y90</f>
        <v>0</v>
      </c>
      <c r="Z89">
        <f>[1]TDSheet!Z90</f>
        <v>44676</v>
      </c>
      <c r="AA89" t="str">
        <f>[1]TDSheet!AA90</f>
        <v>25/04-26_22</v>
      </c>
      <c r="AB89">
        <f>[1]TDSheet!AB90</f>
        <v>0</v>
      </c>
      <c r="AC89">
        <f>[1]TDSheet!AC90</f>
        <v>0</v>
      </c>
      <c r="AD89">
        <f>[1]TDSheet!AD90</f>
        <v>0</v>
      </c>
      <c r="AE89">
        <f>[1]TDSheet!AE90</f>
        <v>0</v>
      </c>
      <c r="AF89">
        <f>[1]TDSheet!AF90</f>
        <v>0</v>
      </c>
      <c r="AG89">
        <f>[1]TDSheet!AG90</f>
        <v>0</v>
      </c>
      <c r="AH89">
        <f>[1]TDSheet!AH90</f>
        <v>0</v>
      </c>
      <c r="AI89">
        <f>[1]TDSheet!AI90</f>
        <v>0</v>
      </c>
      <c r="AJ89">
        <f>[1]TDSheet!AJ90</f>
        <v>0</v>
      </c>
      <c r="AK89">
        <f>[1]TDSheet!AK90</f>
        <v>0</v>
      </c>
      <c r="AL89">
        <f>[1]TDSheet!AL90</f>
        <v>0</v>
      </c>
      <c r="AM89">
        <f>[1]TDSheet!AM90</f>
        <v>0</v>
      </c>
      <c r="AN89">
        <f>[1]TDSheet!AN90</f>
        <v>0</v>
      </c>
      <c r="AO89">
        <f>[1]TDSheet!AO90</f>
        <v>0</v>
      </c>
      <c r="AP89">
        <f>[1]TDSheet!AP90</f>
        <v>0</v>
      </c>
      <c r="AQ89">
        <f>[1]TDSheet!AQ90</f>
        <v>0</v>
      </c>
      <c r="AR89">
        <f>[1]TDSheet!AR90</f>
        <v>0</v>
      </c>
      <c r="AS89">
        <f>[1]TDSheet!AS90</f>
        <v>0</v>
      </c>
      <c r="AT89">
        <f>[1]TDSheet!AT90</f>
        <v>0</v>
      </c>
      <c r="AU89">
        <f>[1]TDSheet!AU90</f>
        <v>0</v>
      </c>
      <c r="AV89">
        <f>[1]TDSheet!AV90</f>
        <v>0</v>
      </c>
      <c r="AW89">
        <f>[1]TDSheet!AW90</f>
        <v>0</v>
      </c>
      <c r="AX89">
        <f>[1]TDSheet!AX90</f>
        <v>0</v>
      </c>
      <c r="AY89">
        <f>[1]TDSheet!AY90</f>
        <v>0</v>
      </c>
      <c r="AZ89">
        <f>[1]TDSheet!AZ90</f>
        <v>0</v>
      </c>
      <c r="BA89">
        <f>[1]TDSheet!BA90</f>
        <v>0</v>
      </c>
      <c r="BB89">
        <f>[1]TDSheet!BB90</f>
        <v>0</v>
      </c>
      <c r="BC89">
        <f>[1]TDSheet!BC90</f>
        <v>0</v>
      </c>
      <c r="BD89">
        <f>[1]TDSheet!BD90</f>
        <v>0</v>
      </c>
      <c r="BE89">
        <f>[1]TDSheet!BE90</f>
        <v>0</v>
      </c>
    </row>
    <row r="90" spans="1:57" x14ac:dyDescent="0.25">
      <c r="A90" t="str">
        <f>[1]TDSheet!A91</f>
        <v>Бахвалов Евгений Александрович</v>
      </c>
      <c r="B90" t="str">
        <f>[1]TDSheet!B91</f>
        <v>Подсобный рабочий</v>
      </c>
      <c r="C90" t="str">
        <f>TEXT([1]TDSheet!C91,"ДД.ММ.ГГГГ")</f>
        <v>24.09.1985</v>
      </c>
      <c r="D90" t="str">
        <f>[1]TDSheet!D91</f>
        <v>РОССИЯ</v>
      </c>
      <c r="E90">
        <f>[1]TDSheet!E91</f>
        <v>0</v>
      </c>
      <c r="F90">
        <f>[1]TDSheet!F91</f>
        <v>0</v>
      </c>
      <c r="G90" t="str">
        <f>[1]TDSheet!G91</f>
        <v>Паспорт гражданина РФ</v>
      </c>
      <c r="H90" t="str">
        <f>[1]TDSheet!H91</f>
        <v>Серия</v>
      </c>
      <c r="I90">
        <f>[1]TDSheet!I91</f>
        <v>4521</v>
      </c>
      <c r="J90" t="str">
        <f>[1]TDSheet!J91</f>
        <v>Номер</v>
      </c>
      <c r="K90">
        <f>[1]TDSheet!K91</f>
        <v>482289</v>
      </c>
      <c r="L90" t="str">
        <f>[1]TDSheet!L91</f>
        <v>Выдан</v>
      </c>
      <c r="M90" t="str">
        <f>TEXT([1]TDSheet!M91,"ДД.ММ.ГГГГ")</f>
        <v>30.08.2021</v>
      </c>
      <c r="N90" t="str">
        <f>[1]TDSheet!N91</f>
        <v xml:space="preserve"> ГУ МВД России по г. Москве</v>
      </c>
      <c r="O90">
        <f>[1]TDSheet!O91</f>
        <v>0</v>
      </c>
      <c r="P90" t="str">
        <f>[1]TDSheet!P91</f>
        <v>Серия 4521 Номер 482289,Выдан 30.08.2021  ГУ МВД России по г. Москве</v>
      </c>
      <c r="Q90" t="str">
        <f>[1]TDSheet!Q91</f>
        <v>Брянская обл., р-н Клетнянский, п. Клетня, ул. Пятницкого, д. 17</v>
      </c>
      <c r="R90" t="str">
        <f>[1]TDSheet!R91</f>
        <v>Брянская обл., р-н Клетнянский, п. Клетня, ул. Пятницкого, д. 17</v>
      </c>
      <c r="S90">
        <f>[1]TDSheet!S91</f>
        <v>0</v>
      </c>
      <c r="T90">
        <f>[1]TDSheet!T91</f>
        <v>0</v>
      </c>
      <c r="U90">
        <f>[1]TDSheet!U91</f>
        <v>0</v>
      </c>
      <c r="V90">
        <f>[1]TDSheet!V91</f>
        <v>0</v>
      </c>
      <c r="W90">
        <f>[1]TDSheet!W91</f>
        <v>0</v>
      </c>
      <c r="X90">
        <f>[1]TDSheet!X91</f>
        <v>0</v>
      </c>
      <c r="Y90">
        <f>[1]TDSheet!Y91</f>
        <v>0</v>
      </c>
      <c r="Z90">
        <f>[1]TDSheet!Z91</f>
        <v>44676</v>
      </c>
      <c r="AA90" t="str">
        <f>[1]TDSheet!AA91</f>
        <v>25/04-25_22</v>
      </c>
      <c r="AB90">
        <f>[1]TDSheet!AB91</f>
        <v>0</v>
      </c>
      <c r="AC90">
        <f>[1]TDSheet!AC91</f>
        <v>0</v>
      </c>
      <c r="AD90">
        <f>[1]TDSheet!AD91</f>
        <v>0</v>
      </c>
      <c r="AE90">
        <f>[1]TDSheet!AE91</f>
        <v>0</v>
      </c>
      <c r="AF90">
        <f>[1]TDSheet!AF91</f>
        <v>0</v>
      </c>
      <c r="AG90">
        <f>[1]TDSheet!AG91</f>
        <v>0</v>
      </c>
      <c r="AH90">
        <f>[1]TDSheet!AH91</f>
        <v>0</v>
      </c>
      <c r="AI90">
        <f>[1]TDSheet!AI91</f>
        <v>0</v>
      </c>
      <c r="AJ90">
        <f>[1]TDSheet!AJ91</f>
        <v>0</v>
      </c>
      <c r="AK90">
        <f>[1]TDSheet!AK91</f>
        <v>0</v>
      </c>
      <c r="AL90">
        <f>[1]TDSheet!AL91</f>
        <v>0</v>
      </c>
      <c r="AM90">
        <f>[1]TDSheet!AM91</f>
        <v>0</v>
      </c>
      <c r="AN90">
        <f>[1]TDSheet!AN91</f>
        <v>0</v>
      </c>
      <c r="AO90">
        <f>[1]TDSheet!AO91</f>
        <v>0</v>
      </c>
      <c r="AP90">
        <f>[1]TDSheet!AP91</f>
        <v>0</v>
      </c>
      <c r="AQ90">
        <f>[1]TDSheet!AQ91</f>
        <v>0</v>
      </c>
      <c r="AR90">
        <f>[1]TDSheet!AR91</f>
        <v>0</v>
      </c>
      <c r="AS90">
        <f>[1]TDSheet!AS91</f>
        <v>0</v>
      </c>
      <c r="AT90">
        <f>[1]TDSheet!AT91</f>
        <v>0</v>
      </c>
      <c r="AU90">
        <f>[1]TDSheet!AU91</f>
        <v>0</v>
      </c>
      <c r="AV90">
        <f>[1]TDSheet!AV91</f>
        <v>0</v>
      </c>
      <c r="AW90">
        <f>[1]TDSheet!AW91</f>
        <v>0</v>
      </c>
      <c r="AX90">
        <f>[1]TDSheet!AX91</f>
        <v>0</v>
      </c>
      <c r="AY90">
        <f>[1]TDSheet!AY91</f>
        <v>0</v>
      </c>
      <c r="AZ90">
        <f>[1]TDSheet!AZ91</f>
        <v>0</v>
      </c>
      <c r="BA90">
        <f>[1]TDSheet!BA91</f>
        <v>0</v>
      </c>
      <c r="BB90">
        <f>[1]TDSheet!BB91</f>
        <v>0</v>
      </c>
      <c r="BC90">
        <f>[1]TDSheet!BC91</f>
        <v>0</v>
      </c>
      <c r="BD90">
        <f>[1]TDSheet!BD91</f>
        <v>0</v>
      </c>
      <c r="BE90">
        <f>[1]TDSheet!BE91</f>
        <v>0</v>
      </c>
    </row>
    <row r="91" spans="1:57" x14ac:dyDescent="0.25">
      <c r="A91" t="str">
        <f>[1]TDSheet!A92</f>
        <v>Запорожан Виталий Алексеевич</v>
      </c>
      <c r="B91" t="str">
        <f>[1]TDSheet!B92</f>
        <v>Подсобный рабочий</v>
      </c>
      <c r="C91" t="str">
        <f>TEXT([1]TDSheet!C92,"ДД.ММ.ГГГГ")</f>
        <v>23.07.1990</v>
      </c>
      <c r="D91" t="str">
        <f>[1]TDSheet!D92</f>
        <v>РОССИЯ</v>
      </c>
      <c r="E91">
        <f>[1]TDSheet!E92</f>
        <v>0</v>
      </c>
      <c r="F91">
        <f>[1]TDSheet!F92</f>
        <v>0</v>
      </c>
      <c r="G91" t="str">
        <f>[1]TDSheet!G92</f>
        <v>Паспорт гражданина РФ</v>
      </c>
      <c r="H91" t="str">
        <f>[1]TDSheet!H92</f>
        <v>Серия</v>
      </c>
      <c r="I91">
        <f>[1]TDSheet!I92</f>
        <v>1911</v>
      </c>
      <c r="J91" t="str">
        <f>[1]TDSheet!J92</f>
        <v>Номер</v>
      </c>
      <c r="K91">
        <f>[1]TDSheet!K92</f>
        <v>801306</v>
      </c>
      <c r="L91" t="str">
        <f>[1]TDSheet!L92</f>
        <v>Выдан</v>
      </c>
      <c r="M91" t="str">
        <f>TEXT([1]TDSheet!M92,"ДД.ММ.ГГГГ")</f>
        <v>16.01.2012</v>
      </c>
      <c r="N91" t="str">
        <f>[1]TDSheet!N92</f>
        <v>Отделением УФМС России по Вологодской области в Тотемском районе</v>
      </c>
      <c r="O91">
        <f>[1]TDSheet!O92</f>
        <v>0</v>
      </c>
      <c r="P91" t="str">
        <f>[1]TDSheet!P92</f>
        <v>Серия 1911 Номер 801306,Выдан 16.01.2012 Отделением УФМС России по Вологодской области в Тотемском районе</v>
      </c>
      <c r="Q91" t="str">
        <f>[1]TDSheet!Q92</f>
        <v>Вологодская обл., Тотемский р-н, пос. Советский, ул. Садовая, д. 18, кв. 4</v>
      </c>
      <c r="R91" t="str">
        <f>[1]TDSheet!R92</f>
        <v>Вологодская обл., Тотемский р-н, пос. Советский, ул. Садовая, д. 18, кв. 4</v>
      </c>
      <c r="S91">
        <f>[1]TDSheet!S92</f>
        <v>0</v>
      </c>
      <c r="T91">
        <f>[1]TDSheet!T92</f>
        <v>0</v>
      </c>
      <c r="U91">
        <f>[1]TDSheet!U92</f>
        <v>0</v>
      </c>
      <c r="V91">
        <f>[1]TDSheet!V92</f>
        <v>0</v>
      </c>
      <c r="W91">
        <f>[1]TDSheet!W92</f>
        <v>0</v>
      </c>
      <c r="X91">
        <f>[1]TDSheet!X92</f>
        <v>0</v>
      </c>
      <c r="Y91">
        <f>[1]TDSheet!Y92</f>
        <v>0</v>
      </c>
      <c r="Z91">
        <f>[1]TDSheet!Z92</f>
        <v>44657</v>
      </c>
      <c r="AA91" t="str">
        <f>[1]TDSheet!AA92</f>
        <v>06/04-50_2022</v>
      </c>
      <c r="AB91">
        <f>[1]TDSheet!AB92</f>
        <v>0</v>
      </c>
      <c r="AC91">
        <f>[1]TDSheet!AC92</f>
        <v>0</v>
      </c>
      <c r="AD91">
        <f>[1]TDSheet!AD92</f>
        <v>0</v>
      </c>
      <c r="AE91">
        <f>[1]TDSheet!AE92</f>
        <v>0</v>
      </c>
      <c r="AF91">
        <f>[1]TDSheet!AF92</f>
        <v>0</v>
      </c>
      <c r="AG91">
        <f>[1]TDSheet!AG92</f>
        <v>0</v>
      </c>
      <c r="AH91">
        <f>[1]TDSheet!AH92</f>
        <v>0</v>
      </c>
      <c r="AI91">
        <f>[1]TDSheet!AI92</f>
        <v>0</v>
      </c>
      <c r="AJ91">
        <f>[1]TDSheet!AJ92</f>
        <v>0</v>
      </c>
      <c r="AK91">
        <f>[1]TDSheet!AK92</f>
        <v>0</v>
      </c>
      <c r="AL91">
        <f>[1]TDSheet!AL92</f>
        <v>0</v>
      </c>
      <c r="AM91">
        <f>[1]TDSheet!AM92</f>
        <v>0</v>
      </c>
      <c r="AN91">
        <f>[1]TDSheet!AN92</f>
        <v>0</v>
      </c>
      <c r="AO91">
        <f>[1]TDSheet!AO92</f>
        <v>0</v>
      </c>
      <c r="AP91">
        <f>[1]TDSheet!AP92</f>
        <v>0</v>
      </c>
      <c r="AQ91">
        <f>[1]TDSheet!AQ92</f>
        <v>0</v>
      </c>
      <c r="AR91">
        <f>[1]TDSheet!AR92</f>
        <v>0</v>
      </c>
      <c r="AS91">
        <f>[1]TDSheet!AS92</f>
        <v>0</v>
      </c>
      <c r="AT91">
        <f>[1]TDSheet!AT92</f>
        <v>0</v>
      </c>
      <c r="AU91">
        <f>[1]TDSheet!AU92</f>
        <v>0</v>
      </c>
      <c r="AV91">
        <f>[1]TDSheet!AV92</f>
        <v>0</v>
      </c>
      <c r="AW91">
        <f>[1]TDSheet!AW92</f>
        <v>0</v>
      </c>
      <c r="AX91">
        <f>[1]TDSheet!AX92</f>
        <v>0</v>
      </c>
      <c r="AY91">
        <f>[1]TDSheet!AY92</f>
        <v>0</v>
      </c>
      <c r="AZ91">
        <f>[1]TDSheet!AZ92</f>
        <v>0</v>
      </c>
      <c r="BA91">
        <f>[1]TDSheet!BA92</f>
        <v>0</v>
      </c>
      <c r="BB91">
        <f>[1]TDSheet!BB92</f>
        <v>0</v>
      </c>
      <c r="BC91">
        <f>[1]TDSheet!BC92</f>
        <v>0</v>
      </c>
      <c r="BD91">
        <f>[1]TDSheet!BD92</f>
        <v>0</v>
      </c>
      <c r="BE91">
        <f>[1]TDSheet!BE92</f>
        <v>0</v>
      </c>
    </row>
    <row r="92" spans="1:57" x14ac:dyDescent="0.25">
      <c r="A92" t="str">
        <f>[1]TDSheet!A93</f>
        <v>Мирзамуратов Полат Алламбергенович</v>
      </c>
      <c r="B92" t="str">
        <f>[1]TDSheet!B93</f>
        <v>Подсобный рабочий</v>
      </c>
      <c r="C92" t="str">
        <f>TEXT([1]TDSheet!C93,"ДД.ММ.ГГГГ")</f>
        <v>07.08.1977</v>
      </c>
      <c r="D92" t="str">
        <f>[1]TDSheet!D93</f>
        <v>УЗБЕКИСТАН</v>
      </c>
      <c r="E92">
        <f>[1]TDSheet!E93</f>
        <v>0</v>
      </c>
      <c r="F92">
        <f>[1]TDSheet!F93</f>
        <v>0</v>
      </c>
      <c r="G92" t="str">
        <f>[1]TDSheet!G93</f>
        <v>Иностранный паспорт</v>
      </c>
      <c r="H92" t="str">
        <f>[1]TDSheet!H93</f>
        <v>Серия</v>
      </c>
      <c r="I92" t="str">
        <f>[1]TDSheet!I93</f>
        <v>FK</v>
      </c>
      <c r="J92" t="str">
        <f>[1]TDSheet!J93</f>
        <v>Номер</v>
      </c>
      <c r="K92" t="str">
        <f>[1]TDSheet!K93</f>
        <v>0167112</v>
      </c>
      <c r="L92" t="str">
        <f>[1]TDSheet!L93</f>
        <v>Выдан</v>
      </c>
      <c r="M92" t="str">
        <f>TEXT([1]TDSheet!M93,"ДД.ММ.ГГГГ")</f>
        <v>12.06.2021</v>
      </c>
      <c r="N92" t="str">
        <f>[1]TDSheet!N93</f>
        <v>MIA 35218</v>
      </c>
      <c r="O92">
        <f>[1]TDSheet!O93</f>
        <v>0</v>
      </c>
      <c r="P92" t="str">
        <f>[1]TDSheet!P93</f>
        <v>Серия FK Номер 0167112,Выдан 12.06.2021 MIA 35218</v>
      </c>
      <c r="Q92" t="str">
        <f>[1]TDSheet!Q93</f>
        <v>г. Москва Мосрентген Мамыри, 3А</v>
      </c>
      <c r="R92" t="str">
        <f>[1]TDSheet!R93</f>
        <v>г. Москва Мосрентген Мамыри, 3А</v>
      </c>
      <c r="S92">
        <f>[1]TDSheet!S93</f>
        <v>0</v>
      </c>
      <c r="T92">
        <f>[1]TDSheet!T93</f>
        <v>0</v>
      </c>
      <c r="U92">
        <f>[1]TDSheet!U93</f>
        <v>0</v>
      </c>
      <c r="V92">
        <f>[1]TDSheet!V93</f>
        <v>0</v>
      </c>
      <c r="W92">
        <f>[1]TDSheet!W93</f>
        <v>0</v>
      </c>
      <c r="X92">
        <f>[1]TDSheet!X93</f>
        <v>0</v>
      </c>
      <c r="Y92">
        <f>[1]TDSheet!Y93</f>
        <v>0</v>
      </c>
      <c r="Z92">
        <f>[1]TDSheet!Z93</f>
        <v>44686</v>
      </c>
      <c r="AA92" t="str">
        <f>[1]TDSheet!AA93</f>
        <v>05/05-51_2022</v>
      </c>
      <c r="AB92">
        <f>[1]TDSheet!AB93</f>
        <v>0</v>
      </c>
      <c r="AC92">
        <f>[1]TDSheet!AC93</f>
        <v>0</v>
      </c>
      <c r="AD92">
        <f>[1]TDSheet!AD93</f>
        <v>0</v>
      </c>
      <c r="AE92">
        <f>[1]TDSheet!AE93</f>
        <v>0</v>
      </c>
      <c r="AF92">
        <f>[1]TDSheet!AF93</f>
        <v>0</v>
      </c>
      <c r="AG92">
        <f>[1]TDSheet!AG93</f>
        <v>0</v>
      </c>
      <c r="AH92">
        <f>[1]TDSheet!AH93</f>
        <v>0</v>
      </c>
      <c r="AI92">
        <f>[1]TDSheet!AI93</f>
        <v>0</v>
      </c>
      <c r="AJ92">
        <f>[1]TDSheet!AJ93</f>
        <v>0</v>
      </c>
      <c r="AK92">
        <f>[1]TDSheet!AK93</f>
        <v>0</v>
      </c>
      <c r="AL92">
        <f>[1]TDSheet!AL93</f>
        <v>0</v>
      </c>
      <c r="AM92">
        <f>[1]TDSheet!AM93</f>
        <v>0</v>
      </c>
      <c r="AN92">
        <f>[1]TDSheet!AN93</f>
        <v>0</v>
      </c>
      <c r="AO92">
        <f>[1]TDSheet!AO93</f>
        <v>0</v>
      </c>
      <c r="AP92">
        <f>[1]TDSheet!AP93</f>
        <v>0</v>
      </c>
      <c r="AQ92">
        <f>[1]TDSheet!AQ93</f>
        <v>0</v>
      </c>
      <c r="AR92">
        <f>[1]TDSheet!AR93</f>
        <v>0</v>
      </c>
      <c r="AS92">
        <f>[1]TDSheet!AS93</f>
        <v>0</v>
      </c>
      <c r="AT92">
        <f>[1]TDSheet!AT93</f>
        <v>0</v>
      </c>
      <c r="AU92">
        <f>[1]TDSheet!AU93</f>
        <v>0</v>
      </c>
      <c r="AV92">
        <f>[1]TDSheet!AV93</f>
        <v>0</v>
      </c>
      <c r="AW92">
        <f>[1]TDSheet!AW93</f>
        <v>0</v>
      </c>
      <c r="AX92">
        <f>[1]TDSheet!AX93</f>
        <v>0</v>
      </c>
      <c r="AY92">
        <f>[1]TDSheet!AY93</f>
        <v>0</v>
      </c>
      <c r="AZ92">
        <f>[1]TDSheet!AZ93</f>
        <v>0</v>
      </c>
      <c r="BA92">
        <f>[1]TDSheet!BA93</f>
        <v>0</v>
      </c>
      <c r="BB92">
        <f>[1]TDSheet!BB93</f>
        <v>0</v>
      </c>
      <c r="BC92">
        <f>[1]TDSheet!BC93</f>
        <v>0</v>
      </c>
      <c r="BD92">
        <f>[1]TDSheet!BD93</f>
        <v>0</v>
      </c>
      <c r="BE92">
        <f>[1]TDSheet!BE93</f>
        <v>0</v>
      </c>
    </row>
    <row r="93" spans="1:57" x14ac:dyDescent="0.25">
      <c r="A93" t="str">
        <f>[1]TDSheet!A94</f>
        <v>Нусратов Фаридун Тураджонович</v>
      </c>
      <c r="B93" t="str">
        <f>[1]TDSheet!B94</f>
        <v>Подсобный рабочий</v>
      </c>
      <c r="C93" t="str">
        <f>TEXT([1]TDSheet!C94,"ДД.ММ.ГГГГ")</f>
        <v>20.04.2002</v>
      </c>
      <c r="D93" t="str">
        <f>[1]TDSheet!D94</f>
        <v>ТАДЖИКИСТАН</v>
      </c>
      <c r="E93">
        <f>[1]TDSheet!E94</f>
        <v>0</v>
      </c>
      <c r="F93">
        <f>[1]TDSheet!F94</f>
        <v>0</v>
      </c>
      <c r="G93" t="str">
        <f>[1]TDSheet!G94</f>
        <v>Иностранный паспорт</v>
      </c>
      <c r="H93" t="str">
        <f>[1]TDSheet!H94</f>
        <v>Серия</v>
      </c>
      <c r="I93" t="str">
        <f>[1]TDSheet!I94</f>
        <v>TJK</v>
      </c>
      <c r="J93" t="str">
        <f>[1]TDSheet!J94</f>
        <v>Номер</v>
      </c>
      <c r="K93">
        <f>[1]TDSheet!K94</f>
        <v>402720194</v>
      </c>
      <c r="L93" t="str">
        <f>[1]TDSheet!L94</f>
        <v>Выдан</v>
      </c>
      <c r="M93" t="str">
        <f>TEXT([1]TDSheet!M94,"ДД.ММ.ГГГГ")</f>
        <v>04.07.2019</v>
      </c>
      <c r="N93" t="str">
        <f>[1]TDSheet!N94</f>
        <v>МВД г.  Турсунзода</v>
      </c>
      <c r="O93">
        <f>[1]TDSheet!O94</f>
        <v>0</v>
      </c>
      <c r="P93" t="str">
        <f>[1]TDSheet!P94</f>
        <v>Серия TJK Номер 402720194,Выдан 04.07.2019 МВД г.  Турсунзода</v>
      </c>
      <c r="Q93" t="str">
        <f>[1]TDSheet!Q94</f>
        <v>г.Москва п. Краснопахорское, дер. Страдань, ул. Рябиновая д.28</v>
      </c>
      <c r="R93" t="str">
        <f>[1]TDSheet!R94</f>
        <v>г.Москва п. Краснопахорское, дер. Страдань, ул. Рябиновая д.29</v>
      </c>
      <c r="S93" t="str">
        <f>[1]TDSheet!S94</f>
        <v xml:space="preserve">Патент: серия 77 № 2102908973 от 16.07.2021  Отдел внешней трудовой миграции УВМ ГУ МВД </v>
      </c>
      <c r="T93">
        <f>[1]TDSheet!T94</f>
        <v>0</v>
      </c>
      <c r="U93">
        <f>[1]TDSheet!U94</f>
        <v>0</v>
      </c>
      <c r="V93">
        <f>[1]TDSheet!V94</f>
        <v>0</v>
      </c>
      <c r="W93">
        <f>[1]TDSheet!W94</f>
        <v>0</v>
      </c>
      <c r="X93">
        <f>[1]TDSheet!X94</f>
        <v>0</v>
      </c>
      <c r="Y93">
        <f>[1]TDSheet!Y94</f>
        <v>0</v>
      </c>
      <c r="Z93">
        <f>[1]TDSheet!Z94</f>
        <v>44699</v>
      </c>
      <c r="AA93" t="str">
        <f>[1]TDSheet!AA94</f>
        <v>18/05-52_2022</v>
      </c>
      <c r="AB93">
        <f>[1]TDSheet!AB94</f>
        <v>0</v>
      </c>
      <c r="AC93">
        <f>[1]TDSheet!AC94</f>
        <v>0</v>
      </c>
      <c r="AD93">
        <f>[1]TDSheet!AD94</f>
        <v>0</v>
      </c>
      <c r="AE93">
        <f>[1]TDSheet!AE94</f>
        <v>0</v>
      </c>
      <c r="AF93">
        <f>[1]TDSheet!AF94</f>
        <v>0</v>
      </c>
      <c r="AG93">
        <f>[1]TDSheet!AG94</f>
        <v>0</v>
      </c>
      <c r="AH93">
        <f>[1]TDSheet!AH94</f>
        <v>0</v>
      </c>
      <c r="AI93">
        <f>[1]TDSheet!AI94</f>
        <v>0</v>
      </c>
      <c r="AJ93">
        <f>[1]TDSheet!AJ94</f>
        <v>0</v>
      </c>
      <c r="AK93">
        <f>[1]TDSheet!AK94</f>
        <v>0</v>
      </c>
      <c r="AL93">
        <f>[1]TDSheet!AL94</f>
        <v>0</v>
      </c>
      <c r="AM93">
        <f>[1]TDSheet!AM94</f>
        <v>0</v>
      </c>
      <c r="AN93">
        <f>[1]TDSheet!AN94</f>
        <v>0</v>
      </c>
      <c r="AO93">
        <f>[1]TDSheet!AO94</f>
        <v>0</v>
      </c>
      <c r="AP93">
        <f>[1]TDSheet!AP94</f>
        <v>0</v>
      </c>
      <c r="AQ93">
        <f>[1]TDSheet!AQ94</f>
        <v>0</v>
      </c>
      <c r="AR93">
        <f>[1]TDSheet!AR94</f>
        <v>0</v>
      </c>
      <c r="AS93">
        <f>[1]TDSheet!AS94</f>
        <v>0</v>
      </c>
      <c r="AT93">
        <f>[1]TDSheet!AT94</f>
        <v>0</v>
      </c>
      <c r="AU93">
        <f>[1]TDSheet!AU94</f>
        <v>0</v>
      </c>
      <c r="AV93">
        <f>[1]TDSheet!AV94</f>
        <v>0</v>
      </c>
      <c r="AW93">
        <f>[1]TDSheet!AW94</f>
        <v>0</v>
      </c>
      <c r="AX93">
        <f>[1]TDSheet!AX94</f>
        <v>0</v>
      </c>
      <c r="AY93">
        <f>[1]TDSheet!AY94</f>
        <v>0</v>
      </c>
      <c r="AZ93">
        <f>[1]TDSheet!AZ94</f>
        <v>0</v>
      </c>
      <c r="BA93">
        <f>[1]TDSheet!BA94</f>
        <v>0</v>
      </c>
      <c r="BB93">
        <f>[1]TDSheet!BB94</f>
        <v>0</v>
      </c>
      <c r="BC93">
        <f>[1]TDSheet!BC94</f>
        <v>0</v>
      </c>
      <c r="BD93">
        <f>[1]TDSheet!BD94</f>
        <v>0</v>
      </c>
      <c r="BE93">
        <f>[1]TDSheet!BE94</f>
        <v>0</v>
      </c>
    </row>
    <row r="94" spans="1:57" x14ac:dyDescent="0.25">
      <c r="A94" t="str">
        <f>[1]TDSheet!A95</f>
        <v xml:space="preserve">Лутфулои Убайдуло </v>
      </c>
      <c r="B94" t="str">
        <f>[1]TDSheet!B95</f>
        <v>Подсобный рабочий</v>
      </c>
      <c r="C94" t="str">
        <f>TEXT([1]TDSheet!C95,"ДД.ММ.ГГГГ")</f>
        <v>13.11.2001</v>
      </c>
      <c r="D94" t="str">
        <f>[1]TDSheet!D95</f>
        <v>ТАДЖИКИСТАН</v>
      </c>
      <c r="E94">
        <f>[1]TDSheet!E95</f>
        <v>0</v>
      </c>
      <c r="F94">
        <f>[1]TDSheet!F95</f>
        <v>0</v>
      </c>
      <c r="G94" t="str">
        <f>[1]TDSheet!G95</f>
        <v>Иностранный паспорт</v>
      </c>
      <c r="H94" t="str">
        <f>[1]TDSheet!H95</f>
        <v>Серия</v>
      </c>
      <c r="I94" t="str">
        <f>[1]TDSheet!I95</f>
        <v>TJK</v>
      </c>
      <c r="J94" t="str">
        <f>[1]TDSheet!J95</f>
        <v>Номер</v>
      </c>
      <c r="K94">
        <f>[1]TDSheet!K95</f>
        <v>402822077</v>
      </c>
      <c r="L94" t="str">
        <f>[1]TDSheet!L95</f>
        <v>Выдан</v>
      </c>
      <c r="M94" t="str">
        <f>TEXT([1]TDSheet!M95,"ДД.ММ.ГГГГ")</f>
        <v>12.09.2019</v>
      </c>
      <c r="N94" t="str">
        <f>[1]TDSheet!N95</f>
        <v>МВД Хамадони</v>
      </c>
      <c r="O94">
        <f>[1]TDSheet!O95</f>
        <v>0</v>
      </c>
      <c r="P94" t="str">
        <f>[1]TDSheet!P95</f>
        <v>Серия TJK Номер 402822077,Выдан 12.09.2019 МВД Хамадони</v>
      </c>
      <c r="Q94" t="str">
        <f>[1]TDSheet!Q95</f>
        <v>г.Москва п. Краснопахорское, дер. Страдань, ул. Рябиновая д.28</v>
      </c>
      <c r="R94" t="str">
        <f>[1]TDSheet!R95</f>
        <v>г.Москва п. Краснопахорское, дер. Страдань, ул. Рябиновая д.29</v>
      </c>
      <c r="S94" t="str">
        <f>[1]TDSheet!S95</f>
        <v xml:space="preserve">Патент: серия 77 № 2103703182 от24.08.2021  Отдел внешней трудовой миграции УВМ ГУ МВД </v>
      </c>
      <c r="T94">
        <f>[1]TDSheet!T95</f>
        <v>0</v>
      </c>
      <c r="U94">
        <f>[1]TDSheet!U95</f>
        <v>0</v>
      </c>
      <c r="V94">
        <f>[1]TDSheet!V95</f>
        <v>0</v>
      </c>
      <c r="W94">
        <f>[1]TDSheet!W95</f>
        <v>0</v>
      </c>
      <c r="X94">
        <f>[1]TDSheet!X95</f>
        <v>0</v>
      </c>
      <c r="Y94">
        <f>[1]TDSheet!Y95</f>
        <v>0</v>
      </c>
      <c r="Z94">
        <f>[1]TDSheet!Z95</f>
        <v>44699</v>
      </c>
      <c r="AA94" t="str">
        <f>[1]TDSheet!AA95</f>
        <v>18/05-53_2022</v>
      </c>
      <c r="AB94">
        <f>[1]TDSheet!AB95</f>
        <v>0</v>
      </c>
      <c r="AC94">
        <f>[1]TDSheet!AC95</f>
        <v>0</v>
      </c>
      <c r="AD94">
        <f>[1]TDSheet!AD95</f>
        <v>0</v>
      </c>
      <c r="AE94">
        <f>[1]TDSheet!AE95</f>
        <v>0</v>
      </c>
      <c r="AF94">
        <f>[1]TDSheet!AF95</f>
        <v>0</v>
      </c>
      <c r="AG94">
        <f>[1]TDSheet!AG95</f>
        <v>0</v>
      </c>
      <c r="AH94">
        <f>[1]TDSheet!AH95</f>
        <v>0</v>
      </c>
      <c r="AI94">
        <f>[1]TDSheet!AI95</f>
        <v>0</v>
      </c>
      <c r="AJ94">
        <f>[1]TDSheet!AJ95</f>
        <v>0</v>
      </c>
      <c r="AK94">
        <f>[1]TDSheet!AK95</f>
        <v>0</v>
      </c>
      <c r="AL94">
        <f>[1]TDSheet!AL95</f>
        <v>0</v>
      </c>
      <c r="AM94">
        <f>[1]TDSheet!AM95</f>
        <v>0</v>
      </c>
      <c r="AN94">
        <f>[1]TDSheet!AN95</f>
        <v>0</v>
      </c>
      <c r="AO94">
        <f>[1]TDSheet!AO95</f>
        <v>0</v>
      </c>
      <c r="AP94">
        <f>[1]TDSheet!AP95</f>
        <v>0</v>
      </c>
      <c r="AQ94">
        <f>[1]TDSheet!AQ95</f>
        <v>0</v>
      </c>
      <c r="AR94">
        <f>[1]TDSheet!AR95</f>
        <v>0</v>
      </c>
      <c r="AS94">
        <f>[1]TDSheet!AS95</f>
        <v>0</v>
      </c>
      <c r="AT94">
        <f>[1]TDSheet!AT95</f>
        <v>0</v>
      </c>
      <c r="AU94">
        <f>[1]TDSheet!AU95</f>
        <v>0</v>
      </c>
      <c r="AV94">
        <f>[1]TDSheet!AV95</f>
        <v>0</v>
      </c>
      <c r="AW94">
        <f>[1]TDSheet!AW95</f>
        <v>0</v>
      </c>
      <c r="AX94">
        <f>[1]TDSheet!AX95</f>
        <v>0</v>
      </c>
      <c r="AY94">
        <f>[1]TDSheet!AY95</f>
        <v>0</v>
      </c>
      <c r="AZ94">
        <f>[1]TDSheet!AZ95</f>
        <v>0</v>
      </c>
      <c r="BA94">
        <f>[1]TDSheet!BA95</f>
        <v>0</v>
      </c>
      <c r="BB94">
        <f>[1]TDSheet!BB95</f>
        <v>0</v>
      </c>
      <c r="BC94">
        <f>[1]TDSheet!BC95</f>
        <v>0</v>
      </c>
      <c r="BD94">
        <f>[1]TDSheet!BD95</f>
        <v>0</v>
      </c>
      <c r="BE94">
        <f>[1]TDSheet!BE95</f>
        <v>0</v>
      </c>
    </row>
    <row r="95" spans="1:57" x14ac:dyDescent="0.25">
      <c r="A95" t="str">
        <f>[1]TDSheet!A96</f>
        <v>Чалолзода Саймидин</v>
      </c>
      <c r="B95" t="str">
        <f>[1]TDSheet!B96</f>
        <v>Подсобный рабочий</v>
      </c>
      <c r="C95" t="str">
        <f>TEXT([1]TDSheet!C96,"ДД.ММ.ГГГГ")</f>
        <v>06.12.2003</v>
      </c>
      <c r="D95" t="str">
        <f>[1]TDSheet!D96</f>
        <v>ТАДЖИКИСТАН</v>
      </c>
      <c r="E95">
        <f>[1]TDSheet!E96</f>
        <v>0</v>
      </c>
      <c r="F95">
        <f>[1]TDSheet!F96</f>
        <v>0</v>
      </c>
      <c r="G95" t="str">
        <f>[1]TDSheet!G96</f>
        <v>Иностранный паспорт</v>
      </c>
      <c r="H95" t="str">
        <f>[1]TDSheet!H96</f>
        <v>Серия</v>
      </c>
      <c r="I95" t="str">
        <f>[1]TDSheet!I96</f>
        <v>TJK</v>
      </c>
      <c r="J95" t="str">
        <f>[1]TDSheet!J96</f>
        <v>Номер</v>
      </c>
      <c r="K95">
        <f>[1]TDSheet!K96</f>
        <v>403552490</v>
      </c>
      <c r="L95" t="str">
        <f>[1]TDSheet!L96</f>
        <v>Выдан</v>
      </c>
      <c r="M95" t="str">
        <f>TEXT([1]TDSheet!M96,"ДД.ММ.ГГГГ")</f>
        <v>22.09.2021</v>
      </c>
      <c r="N95" t="str">
        <f>[1]TDSheet!N96</f>
        <v>МВД г.Пахтаобод</v>
      </c>
      <c r="O95">
        <f>[1]TDSheet!O96</f>
        <v>0</v>
      </c>
      <c r="P95" t="str">
        <f>[1]TDSheet!P96</f>
        <v>Серия TJK Номер 403552490,Выдан 22.09.2021 МВД г.Пахтаобод</v>
      </c>
      <c r="Q95" t="str">
        <f>[1]TDSheet!Q96</f>
        <v>г.Москва п. Краснопахорское, дер. Страдань, ул. Рябиновая д.28</v>
      </c>
      <c r="R95" t="str">
        <f>[1]TDSheet!R96</f>
        <v>г.Москва п. Краснопахорское, дер. Страдань, ул. Рябиновая д.28</v>
      </c>
      <c r="S95">
        <f>[1]TDSheet!S96</f>
        <v>0</v>
      </c>
      <c r="T95">
        <f>[1]TDSheet!T96</f>
        <v>0</v>
      </c>
      <c r="U95">
        <f>[1]TDSheet!U96</f>
        <v>0</v>
      </c>
      <c r="V95">
        <f>[1]TDSheet!V96</f>
        <v>0</v>
      </c>
      <c r="W95">
        <f>[1]TDSheet!W96</f>
        <v>0</v>
      </c>
      <c r="X95">
        <f>[1]TDSheet!X96</f>
        <v>0</v>
      </c>
      <c r="Y95">
        <f>[1]TDSheet!Y96</f>
        <v>0</v>
      </c>
      <c r="Z95">
        <f>[1]TDSheet!Z96</f>
        <v>44699</v>
      </c>
      <c r="AA95" t="str">
        <f>[1]TDSheet!AA96</f>
        <v>18/05-54_2022</v>
      </c>
      <c r="AB95">
        <f>[1]TDSheet!AB96</f>
        <v>0</v>
      </c>
      <c r="AC95">
        <f>[1]TDSheet!AC96</f>
        <v>0</v>
      </c>
      <c r="AD95">
        <f>[1]TDSheet!AD96</f>
        <v>0</v>
      </c>
      <c r="AE95">
        <f>[1]TDSheet!AE96</f>
        <v>0</v>
      </c>
      <c r="AF95">
        <f>[1]TDSheet!AF96</f>
        <v>0</v>
      </c>
      <c r="AG95">
        <f>[1]TDSheet!AG96</f>
        <v>0</v>
      </c>
      <c r="AH95">
        <f>[1]TDSheet!AH96</f>
        <v>0</v>
      </c>
      <c r="AI95">
        <f>[1]TDSheet!AI96</f>
        <v>0</v>
      </c>
      <c r="AJ95">
        <f>[1]TDSheet!AJ96</f>
        <v>0</v>
      </c>
      <c r="AK95">
        <f>[1]TDSheet!AK96</f>
        <v>0</v>
      </c>
      <c r="AL95">
        <f>[1]TDSheet!AL96</f>
        <v>0</v>
      </c>
      <c r="AM95">
        <f>[1]TDSheet!AM96</f>
        <v>0</v>
      </c>
      <c r="AN95">
        <f>[1]TDSheet!AN96</f>
        <v>0</v>
      </c>
      <c r="AO95">
        <f>[1]TDSheet!AO96</f>
        <v>0</v>
      </c>
      <c r="AP95">
        <f>[1]TDSheet!AP96</f>
        <v>0</v>
      </c>
      <c r="AQ95">
        <f>[1]TDSheet!AQ96</f>
        <v>0</v>
      </c>
      <c r="AR95">
        <f>[1]TDSheet!AR96</f>
        <v>0</v>
      </c>
      <c r="AS95">
        <f>[1]TDSheet!AS96</f>
        <v>0</v>
      </c>
      <c r="AT95">
        <f>[1]TDSheet!AT96</f>
        <v>0</v>
      </c>
      <c r="AU95">
        <f>[1]TDSheet!AU96</f>
        <v>0</v>
      </c>
      <c r="AV95">
        <f>[1]TDSheet!AV96</f>
        <v>0</v>
      </c>
      <c r="AW95">
        <f>[1]TDSheet!AW96</f>
        <v>0</v>
      </c>
      <c r="AX95">
        <f>[1]TDSheet!AX96</f>
        <v>0</v>
      </c>
      <c r="AY95">
        <f>[1]TDSheet!AY96</f>
        <v>0</v>
      </c>
      <c r="AZ95">
        <f>[1]TDSheet!AZ96</f>
        <v>0</v>
      </c>
      <c r="BA95">
        <f>[1]TDSheet!BA96</f>
        <v>0</v>
      </c>
      <c r="BB95">
        <f>[1]TDSheet!BB96</f>
        <v>0</v>
      </c>
      <c r="BC95">
        <f>[1]TDSheet!BC96</f>
        <v>0</v>
      </c>
      <c r="BD95">
        <f>[1]TDSheet!BD96</f>
        <v>0</v>
      </c>
      <c r="BE95">
        <f>[1]TDSheet!BE96</f>
        <v>0</v>
      </c>
    </row>
    <row r="96" spans="1:57" x14ac:dyDescent="0.25">
      <c r="A96" t="str">
        <f>[1]TDSheet!A97</f>
        <v>Шаволи Неъматулло</v>
      </c>
      <c r="B96" t="str">
        <f>[1]TDSheet!B97</f>
        <v>Подсобный рабочий</v>
      </c>
      <c r="C96" t="str">
        <f>TEXT([1]TDSheet!C97,"ДД.ММ.ГГГГ")</f>
        <v>24.01.1999</v>
      </c>
      <c r="D96" t="str">
        <f>[1]TDSheet!D97</f>
        <v>ТАДЖИКИСТАН</v>
      </c>
      <c r="E96">
        <f>[1]TDSheet!E97</f>
        <v>0</v>
      </c>
      <c r="F96">
        <f>[1]TDSheet!F97</f>
        <v>0</v>
      </c>
      <c r="G96" t="str">
        <f>[1]TDSheet!G97</f>
        <v>Иностранный паспорт</v>
      </c>
      <c r="H96" t="str">
        <f>[1]TDSheet!H97</f>
        <v>Серия</v>
      </c>
      <c r="I96" t="str">
        <f>[1]TDSheet!I97</f>
        <v>TJK</v>
      </c>
      <c r="J96" t="str">
        <f>[1]TDSheet!J97</f>
        <v>Номер</v>
      </c>
      <c r="K96">
        <f>[1]TDSheet!K97</f>
        <v>401636845</v>
      </c>
      <c r="L96" t="str">
        <f>[1]TDSheet!L97</f>
        <v>Выдан</v>
      </c>
      <c r="M96" t="str">
        <f>TEXT([1]TDSheet!M97,"ДД.ММ.ГГГГ")</f>
        <v>12.08.2017</v>
      </c>
      <c r="N96" t="str">
        <f>[1]TDSheet!N97</f>
        <v>МВД Таджикистана</v>
      </c>
      <c r="O96">
        <f>[1]TDSheet!O97</f>
        <v>0</v>
      </c>
      <c r="P96" t="str">
        <f>[1]TDSheet!P97</f>
        <v>Серия TJK Номер 401636845,Выдан 12.08.2017 МВД Таджикистана</v>
      </c>
      <c r="Q96" t="str">
        <f>[1]TDSheet!Q97</f>
        <v>г.Москва п. Краснопахорское, дер. Страдань, ул. Рябиновая д.28</v>
      </c>
      <c r="R96" t="str">
        <f>[1]TDSheet!R97</f>
        <v>г.Москва п. Краснопахорское, дер. Страдань, ул. Рябиновая д.28</v>
      </c>
      <c r="S96" t="str">
        <f>[1]TDSheet!S97</f>
        <v xml:space="preserve">Патент: серия 77 № 2104948058 от 08.10.2021  Отдел внешней трудовой миграции УВМ ГУ МВД </v>
      </c>
      <c r="T96">
        <f>[1]TDSheet!T97</f>
        <v>0</v>
      </c>
      <c r="U96">
        <f>[1]TDSheet!U97</f>
        <v>0</v>
      </c>
      <c r="V96">
        <f>[1]TDSheet!V97</f>
        <v>0</v>
      </c>
      <c r="W96">
        <f>[1]TDSheet!W97</f>
        <v>0</v>
      </c>
      <c r="X96">
        <f>[1]TDSheet!X97</f>
        <v>0</v>
      </c>
      <c r="Y96">
        <f>[1]TDSheet!Y97</f>
        <v>0</v>
      </c>
      <c r="Z96">
        <f>[1]TDSheet!Z97</f>
        <v>44699</v>
      </c>
      <c r="AA96" t="str">
        <f>[1]TDSheet!AA97</f>
        <v>18/05-55_2022</v>
      </c>
      <c r="AB96">
        <f>[1]TDSheet!AB97</f>
        <v>0</v>
      </c>
      <c r="AC96">
        <f>[1]TDSheet!AC97</f>
        <v>0</v>
      </c>
      <c r="AD96">
        <f>[1]TDSheet!AD97</f>
        <v>0</v>
      </c>
      <c r="AE96">
        <f>[1]TDSheet!AE97</f>
        <v>0</v>
      </c>
      <c r="AF96">
        <f>[1]TDSheet!AF97</f>
        <v>0</v>
      </c>
      <c r="AG96">
        <f>[1]TDSheet!AG97</f>
        <v>0</v>
      </c>
      <c r="AH96">
        <f>[1]TDSheet!AH97</f>
        <v>0</v>
      </c>
      <c r="AI96">
        <f>[1]TDSheet!AI97</f>
        <v>0</v>
      </c>
      <c r="AJ96">
        <f>[1]TDSheet!AJ97</f>
        <v>0</v>
      </c>
      <c r="AK96">
        <f>[1]TDSheet!AK97</f>
        <v>0</v>
      </c>
      <c r="AL96">
        <f>[1]TDSheet!AL97</f>
        <v>0</v>
      </c>
      <c r="AM96">
        <f>[1]TDSheet!AM97</f>
        <v>0</v>
      </c>
      <c r="AN96">
        <f>[1]TDSheet!AN97</f>
        <v>0</v>
      </c>
      <c r="AO96">
        <f>[1]TDSheet!AO97</f>
        <v>0</v>
      </c>
      <c r="AP96">
        <f>[1]TDSheet!AP97</f>
        <v>0</v>
      </c>
      <c r="AQ96">
        <f>[1]TDSheet!AQ97</f>
        <v>0</v>
      </c>
      <c r="AR96">
        <f>[1]TDSheet!AR97</f>
        <v>0</v>
      </c>
      <c r="AS96">
        <f>[1]TDSheet!AS97</f>
        <v>0</v>
      </c>
      <c r="AT96">
        <f>[1]TDSheet!AT97</f>
        <v>0</v>
      </c>
      <c r="AU96">
        <f>[1]TDSheet!AU97</f>
        <v>0</v>
      </c>
      <c r="AV96">
        <f>[1]TDSheet!AV97</f>
        <v>0</v>
      </c>
      <c r="AW96">
        <f>[1]TDSheet!AW97</f>
        <v>0</v>
      </c>
      <c r="AX96">
        <f>[1]TDSheet!AX97</f>
        <v>0</v>
      </c>
      <c r="AY96">
        <f>[1]TDSheet!AY97</f>
        <v>0</v>
      </c>
      <c r="AZ96">
        <f>[1]TDSheet!AZ97</f>
        <v>0</v>
      </c>
      <c r="BA96">
        <f>[1]TDSheet!BA97</f>
        <v>0</v>
      </c>
      <c r="BB96">
        <f>[1]TDSheet!BB97</f>
        <v>0</v>
      </c>
      <c r="BC96">
        <f>[1]TDSheet!BC97</f>
        <v>0</v>
      </c>
      <c r="BD96">
        <f>[1]TDSheet!BD97</f>
        <v>0</v>
      </c>
      <c r="BE96">
        <f>[1]TDSheet!BE97</f>
        <v>0</v>
      </c>
    </row>
    <row r="97" spans="1:57" x14ac:dyDescent="0.25">
      <c r="A97" t="str">
        <f>[1]TDSheet!A98</f>
        <v>Нусратов Далер Маъруфджонович</v>
      </c>
      <c r="B97" t="str">
        <f>[1]TDSheet!B98</f>
        <v>Подсобный рабочий</v>
      </c>
      <c r="C97" t="str">
        <f>TEXT([1]TDSheet!C98,"ДД.ММ.ГГГГ")</f>
        <v>20.01.1999</v>
      </c>
      <c r="D97" t="str">
        <f>[1]TDSheet!D98</f>
        <v>ТАДЖИКИСТАН</v>
      </c>
      <c r="E97">
        <f>[1]TDSheet!E98</f>
        <v>0</v>
      </c>
      <c r="F97">
        <f>[1]TDSheet!F98</f>
        <v>0</v>
      </c>
      <c r="G97" t="str">
        <f>[1]TDSheet!G98</f>
        <v>Иностранный паспорт</v>
      </c>
      <c r="H97" t="str">
        <f>[1]TDSheet!H98</f>
        <v>Серия</v>
      </c>
      <c r="I97" t="str">
        <f>[1]TDSheet!I98</f>
        <v>TJK</v>
      </c>
      <c r="J97" t="str">
        <f>[1]TDSheet!J98</f>
        <v>Номер</v>
      </c>
      <c r="K97">
        <f>[1]TDSheet!K98</f>
        <v>401614125</v>
      </c>
      <c r="L97" t="str">
        <f>[1]TDSheet!L98</f>
        <v>Выдан</v>
      </c>
      <c r="M97" t="str">
        <f>TEXT([1]TDSheet!M98,"ДД.ММ.ГГГГ")</f>
        <v>26.07.2017</v>
      </c>
      <c r="N97" t="str">
        <f>[1]TDSheet!N98</f>
        <v>МВД г.  Турсунзода</v>
      </c>
      <c r="O97">
        <f>[1]TDSheet!O98</f>
        <v>0</v>
      </c>
      <c r="P97" t="str">
        <f>[1]TDSheet!P98</f>
        <v>Серия TJK Номер 401614125,Выдан 26.07.2017 МВД г.  Турсунзода</v>
      </c>
      <c r="Q97" t="str">
        <f>[1]TDSheet!Q98</f>
        <v>г.Москва п. Краснопахорское, дер. Страдань, ул. Рябиновая д.28</v>
      </c>
      <c r="R97" t="str">
        <f>[1]TDSheet!R98</f>
        <v>г.Москва п. Краснопахорское, дер. Страдань, ул. Рябиновая д.28</v>
      </c>
      <c r="S97" t="str">
        <f>[1]TDSheet!S98</f>
        <v xml:space="preserve">Патент: серия 77 № 2103715484 от 16.07.2021  Отдел внешней трудовой миграции УВМ ГУ МВД </v>
      </c>
      <c r="T97">
        <f>[1]TDSheet!T98</f>
        <v>0</v>
      </c>
      <c r="U97">
        <f>[1]TDSheet!U98</f>
        <v>0</v>
      </c>
      <c r="V97">
        <f>[1]TDSheet!V98</f>
        <v>0</v>
      </c>
      <c r="W97">
        <f>[1]TDSheet!W98</f>
        <v>0</v>
      </c>
      <c r="X97">
        <f>[1]TDSheet!X98</f>
        <v>0</v>
      </c>
      <c r="Y97">
        <f>[1]TDSheet!Y98</f>
        <v>0</v>
      </c>
      <c r="Z97">
        <f>[1]TDSheet!Z98</f>
        <v>44699</v>
      </c>
      <c r="AA97" t="str">
        <f>[1]TDSheet!AA98</f>
        <v>18/05-56_2022</v>
      </c>
      <c r="AB97">
        <f>[1]TDSheet!AB98</f>
        <v>0</v>
      </c>
      <c r="AC97">
        <f>[1]TDSheet!AC98</f>
        <v>0</v>
      </c>
      <c r="AD97">
        <f>[1]TDSheet!AD98</f>
        <v>0</v>
      </c>
      <c r="AE97">
        <f>[1]TDSheet!AE98</f>
        <v>0</v>
      </c>
      <c r="AF97">
        <f>[1]TDSheet!AF98</f>
        <v>0</v>
      </c>
      <c r="AG97">
        <f>[1]TDSheet!AG98</f>
        <v>0</v>
      </c>
      <c r="AH97">
        <f>[1]TDSheet!AH98</f>
        <v>0</v>
      </c>
      <c r="AI97">
        <f>[1]TDSheet!AI98</f>
        <v>0</v>
      </c>
      <c r="AJ97">
        <f>[1]TDSheet!AJ98</f>
        <v>0</v>
      </c>
      <c r="AK97">
        <f>[1]TDSheet!AK98</f>
        <v>0</v>
      </c>
      <c r="AL97">
        <f>[1]TDSheet!AL98</f>
        <v>0</v>
      </c>
      <c r="AM97">
        <f>[1]TDSheet!AM98</f>
        <v>0</v>
      </c>
      <c r="AN97">
        <f>[1]TDSheet!AN98</f>
        <v>0</v>
      </c>
      <c r="AO97">
        <f>[1]TDSheet!AO98</f>
        <v>0</v>
      </c>
      <c r="AP97">
        <f>[1]TDSheet!AP98</f>
        <v>0</v>
      </c>
      <c r="AQ97">
        <f>[1]TDSheet!AQ98</f>
        <v>0</v>
      </c>
      <c r="AR97">
        <f>[1]TDSheet!AR98</f>
        <v>0</v>
      </c>
      <c r="AS97">
        <f>[1]TDSheet!AS98</f>
        <v>0</v>
      </c>
      <c r="AT97">
        <f>[1]TDSheet!AT98</f>
        <v>0</v>
      </c>
      <c r="AU97">
        <f>[1]TDSheet!AU98</f>
        <v>0</v>
      </c>
      <c r="AV97">
        <f>[1]TDSheet!AV98</f>
        <v>0</v>
      </c>
      <c r="AW97">
        <f>[1]TDSheet!AW98</f>
        <v>0</v>
      </c>
      <c r="AX97">
        <f>[1]TDSheet!AX98</f>
        <v>0</v>
      </c>
      <c r="AY97">
        <f>[1]TDSheet!AY98</f>
        <v>0</v>
      </c>
      <c r="AZ97">
        <f>[1]TDSheet!AZ98</f>
        <v>0</v>
      </c>
      <c r="BA97">
        <f>[1]TDSheet!BA98</f>
        <v>0</v>
      </c>
      <c r="BB97">
        <f>[1]TDSheet!BB98</f>
        <v>0</v>
      </c>
      <c r="BC97">
        <f>[1]TDSheet!BC98</f>
        <v>0</v>
      </c>
      <c r="BD97">
        <f>[1]TDSheet!BD98</f>
        <v>0</v>
      </c>
      <c r="BE97">
        <f>[1]TDSheet!BE98</f>
        <v>0</v>
      </c>
    </row>
    <row r="98" spans="1:57" x14ac:dyDescent="0.25">
      <c r="A98" t="str">
        <f>[1]TDSheet!A99</f>
        <v>Красноруцкая Екакатерина Юрьевна</v>
      </c>
      <c r="B98" t="str">
        <f>[1]TDSheet!B99</f>
        <v>Бухгалтер</v>
      </c>
      <c r="C98" t="str">
        <f>TEXT([1]TDSheet!C99,"ДД.ММ.ГГГГ")</f>
        <v>17.03.1977</v>
      </c>
      <c r="D98" t="str">
        <f>[1]TDSheet!D99</f>
        <v>РОССИЯ</v>
      </c>
      <c r="E98" t="str">
        <f>[1]TDSheet!E99</f>
        <v>503214204716</v>
      </c>
      <c r="F98" t="str">
        <f>[1]TDSheet!F99</f>
        <v>041-401-912-98</v>
      </c>
      <c r="G98" t="str">
        <f>[1]TDSheet!G99</f>
        <v>Паспорт гражданина РФ</v>
      </c>
      <c r="H98" t="str">
        <f>[1]TDSheet!H99</f>
        <v>Серия</v>
      </c>
      <c r="I98">
        <f>[1]TDSheet!I99</f>
        <v>4621</v>
      </c>
      <c r="J98" t="str">
        <f>[1]TDSheet!J99</f>
        <v>Номер</v>
      </c>
      <c r="K98">
        <f>[1]TDSheet!K99</f>
        <v>342057</v>
      </c>
      <c r="L98" t="str">
        <f>[1]TDSheet!L99</f>
        <v>Выдан</v>
      </c>
      <c r="M98" t="str">
        <f>TEXT([1]TDSheet!M99,"ДД.ММ.ГГГГ")</f>
        <v>12.05.2022</v>
      </c>
      <c r="N98" t="str">
        <f>[1]TDSheet!N99</f>
        <v>ГУ МВД РОССИИ ПО МОСКОВСКОЙ ОБЛАСТИ</v>
      </c>
      <c r="O98">
        <f>[1]TDSheet!O99</f>
        <v>0</v>
      </c>
      <c r="P98" t="str">
        <f>[1]TDSheet!P99</f>
        <v>Серия 4621 Номер 342057,Выдан 12.05.2022 ГУ МВД РОССИИ ПО МОСКОВСКОЙ ОБЛАСТИ</v>
      </c>
      <c r="Q98" t="str">
        <f>[1]TDSheet!Q99</f>
        <v>Моссковская область, п. Власиха, мкр. Школьный д.2 кв. 76</v>
      </c>
      <c r="R98" t="str">
        <f>[1]TDSheet!R99</f>
        <v>Моссковская область, п. Власиха, мкр. Школьный д.2 кв. 77</v>
      </c>
      <c r="S98">
        <f>[1]TDSheet!S99</f>
        <v>0</v>
      </c>
      <c r="T98">
        <f>[1]TDSheet!T99</f>
        <v>0</v>
      </c>
      <c r="U98">
        <f>[1]TDSheet!U99</f>
        <v>0</v>
      </c>
      <c r="V98">
        <f>[1]TDSheet!V99</f>
        <v>0</v>
      </c>
      <c r="W98">
        <f>[1]TDSheet!W99</f>
        <v>0</v>
      </c>
      <c r="X98">
        <f>[1]TDSheet!X99</f>
        <v>0</v>
      </c>
      <c r="Y98">
        <f>[1]TDSheet!Y99</f>
        <v>0</v>
      </c>
      <c r="Z98">
        <f>[1]TDSheet!Z99</f>
        <v>44700</v>
      </c>
      <c r="AA98">
        <f>[1]TDSheet!AA99</f>
        <v>0</v>
      </c>
      <c r="AB98">
        <f>[1]TDSheet!AB99</f>
        <v>0</v>
      </c>
      <c r="AC98">
        <f>[1]TDSheet!AC99</f>
        <v>0</v>
      </c>
      <c r="AD98">
        <f>[1]TDSheet!AD99</f>
        <v>0</v>
      </c>
      <c r="AE98">
        <f>[1]TDSheet!AE99</f>
        <v>0</v>
      </c>
      <c r="AF98">
        <f>[1]TDSheet!AF99</f>
        <v>0</v>
      </c>
      <c r="AG98">
        <f>[1]TDSheet!AG99</f>
        <v>0</v>
      </c>
      <c r="AH98">
        <f>[1]TDSheet!AH99</f>
        <v>0</v>
      </c>
      <c r="AI98">
        <f>[1]TDSheet!AI99</f>
        <v>0</v>
      </c>
      <c r="AJ98">
        <f>[1]TDSheet!AJ99</f>
        <v>0</v>
      </c>
      <c r="AK98">
        <f>[1]TDSheet!AK99</f>
        <v>0</v>
      </c>
      <c r="AL98">
        <f>[1]TDSheet!AL99</f>
        <v>0</v>
      </c>
      <c r="AM98">
        <f>[1]TDSheet!AM99</f>
        <v>0</v>
      </c>
      <c r="AN98">
        <f>[1]TDSheet!AN99</f>
        <v>0</v>
      </c>
      <c r="AO98">
        <f>[1]TDSheet!AO99</f>
        <v>0</v>
      </c>
      <c r="AP98">
        <f>[1]TDSheet!AP99</f>
        <v>0</v>
      </c>
      <c r="AQ98">
        <f>[1]TDSheet!AQ99</f>
        <v>0</v>
      </c>
      <c r="AR98">
        <f>[1]TDSheet!AR99</f>
        <v>0</v>
      </c>
      <c r="AS98">
        <f>[1]TDSheet!AS99</f>
        <v>0</v>
      </c>
      <c r="AT98">
        <f>[1]TDSheet!AT99</f>
        <v>0</v>
      </c>
      <c r="AU98">
        <f>[1]TDSheet!AU99</f>
        <v>0</v>
      </c>
      <c r="AV98">
        <f>[1]TDSheet!AV99</f>
        <v>0</v>
      </c>
      <c r="AW98">
        <f>[1]TDSheet!AW99</f>
        <v>0</v>
      </c>
      <c r="AX98">
        <f>[1]TDSheet!AX99</f>
        <v>0</v>
      </c>
      <c r="AY98">
        <f>[1]TDSheet!AY99</f>
        <v>0</v>
      </c>
      <c r="AZ98">
        <f>[1]TDSheet!AZ99</f>
        <v>0</v>
      </c>
      <c r="BA98">
        <f>[1]TDSheet!BA99</f>
        <v>0</v>
      </c>
      <c r="BB98">
        <f>[1]TDSheet!BB99</f>
        <v>0</v>
      </c>
      <c r="BC98" t="str">
        <f>[1]TDSheet!BC99</f>
        <v>40817810840018500000</v>
      </c>
      <c r="BD98" t="str">
        <f>[1]TDSheet!BD99</f>
        <v>ПАО СБЕРБАНК</v>
      </c>
      <c r="BE98" t="str">
        <f>[1]TDSheet!BE99</f>
        <v>044525225</v>
      </c>
    </row>
    <row r="99" spans="1:57" x14ac:dyDescent="0.25">
      <c r="A99" t="str">
        <f>[1]TDSheet!A100</f>
        <v>Джобиров Абдумуталиб Аловдинович</v>
      </c>
      <c r="B99" t="str">
        <f>[1]TDSheet!B100</f>
        <v>Подсобный рабочий</v>
      </c>
      <c r="C99" t="str">
        <f>TEXT([1]TDSheet!C100,"ДД.ММ.ГГГГ")</f>
        <v>19.12.1972</v>
      </c>
      <c r="D99" t="str">
        <f>[1]TDSheet!D100</f>
        <v>ТАДЖИКИСТАН</v>
      </c>
      <c r="E99">
        <f>[1]TDSheet!E100</f>
        <v>0</v>
      </c>
      <c r="F99">
        <f>[1]TDSheet!F100</f>
        <v>0</v>
      </c>
      <c r="G99" t="str">
        <f>[1]TDSheet!G100</f>
        <v>Иностранный паспорт</v>
      </c>
      <c r="H99" t="str">
        <f>[1]TDSheet!H100</f>
        <v>Серия</v>
      </c>
      <c r="I99" t="str">
        <f>[1]TDSheet!I100</f>
        <v>TJK</v>
      </c>
      <c r="J99" t="str">
        <f>[1]TDSheet!J100</f>
        <v>Номер</v>
      </c>
      <c r="K99">
        <f>[1]TDSheet!K100</f>
        <v>402983291</v>
      </c>
      <c r="L99" t="str">
        <f>[1]TDSheet!L100</f>
        <v>Выдан</v>
      </c>
      <c r="M99" t="str">
        <f>TEXT([1]TDSheet!M100,"ДД.ММ.ГГГГ")</f>
        <v>06.01.2020</v>
      </c>
      <c r="N99" t="str">
        <f>[1]TDSheet!N100</f>
        <v>МВД г.Чайхун</v>
      </c>
      <c r="O99">
        <f>[1]TDSheet!O100</f>
        <v>0</v>
      </c>
      <c r="P99" t="str">
        <f>[1]TDSheet!P100</f>
        <v>Серия TJK Номер 402983291,Выдан 06.01.2020 МВД г.Чайхун</v>
      </c>
      <c r="Q99" t="str">
        <f>[1]TDSheet!Q100</f>
        <v>г. Москва Мосрентген Мамыри, 3А</v>
      </c>
      <c r="R99" t="str">
        <f>[1]TDSheet!R100</f>
        <v>г. Москва Мосрентген Мамыри, 3А</v>
      </c>
      <c r="S99" t="str">
        <f>[1]TDSheet!S100</f>
        <v xml:space="preserve">Патент: серия 77 № 2102631471 от 01.07.2021  Отдел внешней трудовой миграции УВМ ГУ МВД </v>
      </c>
      <c r="T99">
        <f>[1]TDSheet!T100</f>
        <v>0</v>
      </c>
      <c r="U99">
        <f>[1]TDSheet!U100</f>
        <v>0</v>
      </c>
      <c r="V99">
        <f>[1]TDSheet!V100</f>
        <v>0</v>
      </c>
      <c r="W99">
        <f>[1]TDSheet!W100</f>
        <v>0</v>
      </c>
      <c r="X99">
        <f>[1]TDSheet!X100</f>
        <v>0</v>
      </c>
      <c r="Y99">
        <f>[1]TDSheet!Y100</f>
        <v>0</v>
      </c>
      <c r="Z99">
        <f>[1]TDSheet!Z100</f>
        <v>44704</v>
      </c>
      <c r="AA99" t="str">
        <f>[1]TDSheet!AA100</f>
        <v>23/05-57_2022</v>
      </c>
      <c r="AB99">
        <f>[1]TDSheet!AB100</f>
        <v>0</v>
      </c>
      <c r="AC99">
        <f>[1]TDSheet!AC100</f>
        <v>0</v>
      </c>
      <c r="AD99">
        <f>[1]TDSheet!AD100</f>
        <v>0</v>
      </c>
      <c r="AE99">
        <f>[1]TDSheet!AE100</f>
        <v>0</v>
      </c>
      <c r="AF99">
        <f>[1]TDSheet!AF100</f>
        <v>0</v>
      </c>
      <c r="AG99">
        <f>[1]TDSheet!AG100</f>
        <v>0</v>
      </c>
      <c r="AH99">
        <f>[1]TDSheet!AH100</f>
        <v>0</v>
      </c>
      <c r="AI99">
        <f>[1]TDSheet!AI100</f>
        <v>0</v>
      </c>
      <c r="AJ99">
        <f>[1]TDSheet!AJ100</f>
        <v>0</v>
      </c>
      <c r="AK99">
        <f>[1]TDSheet!AK100</f>
        <v>0</v>
      </c>
      <c r="AL99">
        <f>[1]TDSheet!AL100</f>
        <v>0</v>
      </c>
      <c r="AM99">
        <f>[1]TDSheet!AM100</f>
        <v>0</v>
      </c>
      <c r="AN99">
        <f>[1]TDSheet!AN100</f>
        <v>0</v>
      </c>
      <c r="AO99">
        <f>[1]TDSheet!AO100</f>
        <v>0</v>
      </c>
      <c r="AP99">
        <f>[1]TDSheet!AP100</f>
        <v>0</v>
      </c>
      <c r="AQ99">
        <f>[1]TDSheet!AQ100</f>
        <v>0</v>
      </c>
      <c r="AR99">
        <f>[1]TDSheet!AR100</f>
        <v>0</v>
      </c>
      <c r="AS99">
        <f>[1]TDSheet!AS100</f>
        <v>0</v>
      </c>
      <c r="AT99">
        <f>[1]TDSheet!AT100</f>
        <v>0</v>
      </c>
      <c r="AU99">
        <f>[1]TDSheet!AU100</f>
        <v>0</v>
      </c>
      <c r="AV99">
        <f>[1]TDSheet!AV100</f>
        <v>0</v>
      </c>
      <c r="AW99">
        <f>[1]TDSheet!AW100</f>
        <v>0</v>
      </c>
      <c r="AX99">
        <f>[1]TDSheet!AX100</f>
        <v>0</v>
      </c>
      <c r="AY99">
        <f>[1]TDSheet!AY100</f>
        <v>0</v>
      </c>
      <c r="AZ99">
        <f>[1]TDSheet!AZ100</f>
        <v>0</v>
      </c>
      <c r="BA99">
        <f>[1]TDSheet!BA100</f>
        <v>0</v>
      </c>
      <c r="BB99">
        <f>[1]TDSheet!BB100</f>
        <v>0</v>
      </c>
      <c r="BC99">
        <f>[1]TDSheet!BC100</f>
        <v>0</v>
      </c>
      <c r="BD99">
        <f>[1]TDSheet!BD100</f>
        <v>0</v>
      </c>
      <c r="BE99">
        <f>[1]TDSheet!BE100</f>
        <v>0</v>
      </c>
    </row>
    <row r="100" spans="1:57" x14ac:dyDescent="0.25">
      <c r="A100" t="str">
        <f>[1]TDSheet!A101</f>
        <v>Исроилов Сиротулло Абдухафизович</v>
      </c>
      <c r="B100" t="str">
        <f>[1]TDSheet!B101</f>
        <v>Подсобный рабочий</v>
      </c>
      <c r="C100" t="str">
        <f>TEXT([1]TDSheet!C101,"ДД.ММ.ГГГГ")</f>
        <v>07.04.2000</v>
      </c>
      <c r="D100" t="str">
        <f>[1]TDSheet!D101</f>
        <v>ТАДЖИКИСТАН</v>
      </c>
      <c r="E100">
        <f>[1]TDSheet!E101</f>
        <v>0</v>
      </c>
      <c r="F100">
        <f>[1]TDSheet!F101</f>
        <v>0</v>
      </c>
      <c r="G100" t="str">
        <f>[1]TDSheet!G101</f>
        <v>Иностранный паспорт</v>
      </c>
      <c r="H100" t="str">
        <f>[1]TDSheet!H101</f>
        <v>Серия</v>
      </c>
      <c r="I100" t="str">
        <f>[1]TDSheet!I101</f>
        <v>TJK</v>
      </c>
      <c r="J100" t="str">
        <f>[1]TDSheet!J101</f>
        <v>Номер</v>
      </c>
      <c r="K100">
        <f>[1]TDSheet!K101</f>
        <v>401956513</v>
      </c>
      <c r="L100" t="str">
        <f>[1]TDSheet!L101</f>
        <v>Выдан</v>
      </c>
      <c r="M100" t="str">
        <f>TEXT([1]TDSheet!M101,"ДД.ММ.ГГГГ")</f>
        <v>27.02.2018</v>
      </c>
      <c r="N100" t="str">
        <f>[1]TDSheet!N101</f>
        <v>МВД г. Кубодиен</v>
      </c>
      <c r="O100">
        <f>[1]TDSheet!O101</f>
        <v>0</v>
      </c>
      <c r="P100" t="str">
        <f>[1]TDSheet!P101</f>
        <v>Серия TJK Номер 401956513,Выдан 27.02.2018 МВД г. Кубодиен</v>
      </c>
      <c r="Q100" t="str">
        <f>[1]TDSheet!Q101</f>
        <v>г. Москва Бутово ул. Брусилова д.41</v>
      </c>
      <c r="R100" t="str">
        <f>[1]TDSheet!R101</f>
        <v>г. Москва Бутово ул. Брусилова д.41</v>
      </c>
      <c r="S100" t="str">
        <f>[1]TDSheet!S101</f>
        <v xml:space="preserve">Патент: серия 77 № 2204415663 от 29.01.2022  Отдел внешней трудовой миграции УВМ ГУ МВД </v>
      </c>
      <c r="T100">
        <f>[1]TDSheet!T101</f>
        <v>0</v>
      </c>
      <c r="U100">
        <f>[1]TDSheet!U101</f>
        <v>0</v>
      </c>
      <c r="V100">
        <f>[1]TDSheet!V101</f>
        <v>0</v>
      </c>
      <c r="W100">
        <f>[1]TDSheet!W101</f>
        <v>0</v>
      </c>
      <c r="X100">
        <f>[1]TDSheet!X101</f>
        <v>0</v>
      </c>
      <c r="Y100">
        <f>[1]TDSheet!Y101</f>
        <v>0</v>
      </c>
      <c r="Z100">
        <f>[1]TDSheet!Z101</f>
        <v>44704</v>
      </c>
      <c r="AA100" t="str">
        <f>[1]TDSheet!AA101</f>
        <v>23/05-58_2022</v>
      </c>
      <c r="AB100">
        <f>[1]TDSheet!AB101</f>
        <v>0</v>
      </c>
      <c r="AC100">
        <f>[1]TDSheet!AC101</f>
        <v>0</v>
      </c>
      <c r="AD100">
        <f>[1]TDSheet!AD101</f>
        <v>0</v>
      </c>
      <c r="AE100">
        <f>[1]TDSheet!AE101</f>
        <v>0</v>
      </c>
      <c r="AF100">
        <f>[1]TDSheet!AF101</f>
        <v>0</v>
      </c>
      <c r="AG100">
        <f>[1]TDSheet!AG101</f>
        <v>0</v>
      </c>
      <c r="AH100">
        <f>[1]TDSheet!AH101</f>
        <v>0</v>
      </c>
      <c r="AI100">
        <f>[1]TDSheet!AI101</f>
        <v>0</v>
      </c>
      <c r="AJ100">
        <f>[1]TDSheet!AJ101</f>
        <v>0</v>
      </c>
      <c r="AK100">
        <f>[1]TDSheet!AK101</f>
        <v>0</v>
      </c>
      <c r="AL100">
        <f>[1]TDSheet!AL101</f>
        <v>0</v>
      </c>
      <c r="AM100">
        <f>[1]TDSheet!AM101</f>
        <v>0</v>
      </c>
      <c r="AN100">
        <f>[1]TDSheet!AN101</f>
        <v>0</v>
      </c>
      <c r="AO100">
        <f>[1]TDSheet!AO101</f>
        <v>0</v>
      </c>
      <c r="AP100">
        <f>[1]TDSheet!AP101</f>
        <v>0</v>
      </c>
      <c r="AQ100">
        <f>[1]TDSheet!AQ101</f>
        <v>0</v>
      </c>
      <c r="AR100">
        <f>[1]TDSheet!AR101</f>
        <v>0</v>
      </c>
      <c r="AS100">
        <f>[1]TDSheet!AS101</f>
        <v>0</v>
      </c>
      <c r="AT100">
        <f>[1]TDSheet!AT101</f>
        <v>0</v>
      </c>
      <c r="AU100">
        <f>[1]TDSheet!AU101</f>
        <v>0</v>
      </c>
      <c r="AV100">
        <f>[1]TDSheet!AV101</f>
        <v>0</v>
      </c>
      <c r="AW100">
        <f>[1]TDSheet!AW101</f>
        <v>0</v>
      </c>
      <c r="AX100">
        <f>[1]TDSheet!AX101</f>
        <v>0</v>
      </c>
      <c r="AY100">
        <f>[1]TDSheet!AY101</f>
        <v>0</v>
      </c>
      <c r="AZ100">
        <f>[1]TDSheet!AZ101</f>
        <v>0</v>
      </c>
      <c r="BA100">
        <f>[1]TDSheet!BA101</f>
        <v>0</v>
      </c>
      <c r="BB100">
        <f>[1]TDSheet!BB101</f>
        <v>0</v>
      </c>
      <c r="BC100">
        <f>[1]TDSheet!BC101</f>
        <v>0</v>
      </c>
      <c r="BD100">
        <f>[1]TDSheet!BD101</f>
        <v>0</v>
      </c>
      <c r="BE100">
        <f>[1]TDSheet!BE101</f>
        <v>0</v>
      </c>
    </row>
    <row r="101" spans="1:57" x14ac:dyDescent="0.25">
      <c r="A101" t="str">
        <f>[1]TDSheet!A102</f>
        <v>Табинбаев Бекзод Мажит Угли</v>
      </c>
      <c r="B101" t="str">
        <f>[1]TDSheet!B102</f>
        <v>Подсобный рабочий</v>
      </c>
      <c r="C101" t="str">
        <f>TEXT([1]TDSheet!C102,"ДД.ММ.ГГГГ")</f>
        <v>19.01.2001</v>
      </c>
      <c r="D101" t="str">
        <f>[1]TDSheet!D102</f>
        <v>УЗБЕКИСТАН</v>
      </c>
      <c r="E101" t="str">
        <f>[1]TDSheet!E102</f>
        <v>775144514183</v>
      </c>
      <c r="F101">
        <f>[1]TDSheet!F102</f>
        <v>0</v>
      </c>
      <c r="G101" t="str">
        <f>[1]TDSheet!G102</f>
        <v>Иностранный паспорт</v>
      </c>
      <c r="H101" t="str">
        <f>[1]TDSheet!H102</f>
        <v>Серия</v>
      </c>
      <c r="I101" t="str">
        <f>[1]TDSheet!I102</f>
        <v>FK</v>
      </c>
      <c r="J101" t="str">
        <f>[1]TDSheet!J102</f>
        <v>Номер</v>
      </c>
      <c r="K101" t="str">
        <f>[1]TDSheet!K102</f>
        <v>0288667</v>
      </c>
      <c r="L101" t="str">
        <f>[1]TDSheet!L102</f>
        <v>Выдан</v>
      </c>
      <c r="M101" t="str">
        <f>TEXT([1]TDSheet!M102,"ДД.ММ.ГГГГ")</f>
        <v>09.02.2022</v>
      </c>
      <c r="N101" t="str">
        <f>[1]TDSheet!N102</f>
        <v>MIA 35218</v>
      </c>
      <c r="O101">
        <f>[1]TDSheet!O102</f>
        <v>0</v>
      </c>
      <c r="P101" t="str">
        <f>[1]TDSheet!P102</f>
        <v>Серия FK Номер 0288667,Выдан 09.02.2022 MIA 35218</v>
      </c>
      <c r="Q101" t="str">
        <f>[1]TDSheet!Q102</f>
        <v>г. Москва Мосрентген Мамыри, 3А</v>
      </c>
      <c r="R101" t="str">
        <f>[1]TDSheet!R102</f>
        <v>г. Москва Мосрентген Мамыри, 3А</v>
      </c>
      <c r="S101" t="str">
        <f>[1]TDSheet!S102</f>
        <v xml:space="preserve">Патент: серия 77 №2201329430 от29.03.2022  Отдел внешней трудовой миграции УВМ ГУ МВД </v>
      </c>
      <c r="T101">
        <f>[1]TDSheet!T102</f>
        <v>0</v>
      </c>
      <c r="U101">
        <f>[1]TDSheet!U102</f>
        <v>178</v>
      </c>
      <c r="V101">
        <f>[1]TDSheet!V102</f>
        <v>48</v>
      </c>
      <c r="W101">
        <f>[1]TDSheet!W102</f>
        <v>41</v>
      </c>
      <c r="X101">
        <f>[1]TDSheet!X102</f>
        <v>0</v>
      </c>
      <c r="Y101">
        <f>[1]TDSheet!Y102</f>
        <v>0</v>
      </c>
      <c r="Z101">
        <f>[1]TDSheet!Z102</f>
        <v>44704</v>
      </c>
      <c r="AA101" t="str">
        <f>[1]TDSheet!AA102</f>
        <v>23/05-59_2022</v>
      </c>
      <c r="AB101">
        <f>[1]TDSheet!AB102</f>
        <v>0</v>
      </c>
      <c r="AC101">
        <f>[1]TDSheet!AC102</f>
        <v>0</v>
      </c>
      <c r="AD101">
        <f>[1]TDSheet!AD102</f>
        <v>0</v>
      </c>
      <c r="AE101">
        <f>[1]TDSheet!AE102</f>
        <v>0</v>
      </c>
      <c r="AF101">
        <f>[1]TDSheet!AF102</f>
        <v>0</v>
      </c>
      <c r="AG101">
        <f>[1]TDSheet!AG102</f>
        <v>0</v>
      </c>
      <c r="AH101">
        <f>[1]TDSheet!AH102</f>
        <v>0</v>
      </c>
      <c r="AI101">
        <f>[1]TDSheet!AI102</f>
        <v>0</v>
      </c>
      <c r="AJ101">
        <f>[1]TDSheet!AJ102</f>
        <v>0</v>
      </c>
      <c r="AK101">
        <f>[1]TDSheet!AK102</f>
        <v>0</v>
      </c>
      <c r="AL101">
        <f>[1]TDSheet!AL102</f>
        <v>0</v>
      </c>
      <c r="AM101">
        <f>[1]TDSheet!AM102</f>
        <v>0</v>
      </c>
      <c r="AN101">
        <f>[1]TDSheet!AN102</f>
        <v>0</v>
      </c>
      <c r="AO101">
        <f>[1]TDSheet!AO102</f>
        <v>0</v>
      </c>
      <c r="AP101">
        <f>[1]TDSheet!AP102</f>
        <v>0</v>
      </c>
      <c r="AQ101">
        <f>[1]TDSheet!AQ102</f>
        <v>0</v>
      </c>
      <c r="AR101">
        <f>[1]TDSheet!AR102</f>
        <v>0</v>
      </c>
      <c r="AS101">
        <f>[1]TDSheet!AS102</f>
        <v>0</v>
      </c>
      <c r="AT101">
        <f>[1]TDSheet!AT102</f>
        <v>0</v>
      </c>
      <c r="AU101">
        <f>[1]TDSheet!AU102</f>
        <v>0</v>
      </c>
      <c r="AV101">
        <f>[1]TDSheet!AV102</f>
        <v>0</v>
      </c>
      <c r="AW101">
        <f>[1]TDSheet!AW102</f>
        <v>0</v>
      </c>
      <c r="AX101">
        <f>[1]TDSheet!AX102</f>
        <v>0</v>
      </c>
      <c r="AY101">
        <f>[1]TDSheet!AY102</f>
        <v>0</v>
      </c>
      <c r="AZ101">
        <f>[1]TDSheet!AZ102</f>
        <v>0</v>
      </c>
      <c r="BA101">
        <f>[1]TDSheet!BA102</f>
        <v>0</v>
      </c>
      <c r="BB101">
        <f>[1]TDSheet!BB102</f>
        <v>0</v>
      </c>
      <c r="BC101">
        <f>[1]TDSheet!BC102</f>
        <v>0</v>
      </c>
      <c r="BD101">
        <f>[1]TDSheet!BD102</f>
        <v>0</v>
      </c>
      <c r="BE101">
        <f>[1]TDSheet!BE102</f>
        <v>0</v>
      </c>
    </row>
    <row r="102" spans="1:57" x14ac:dyDescent="0.25">
      <c r="A102" t="str">
        <f>[1]TDSheet!A103</f>
        <v>Давлатов Курбонали Шарофидинович</v>
      </c>
      <c r="B102" t="str">
        <f>[1]TDSheet!B103</f>
        <v>Подсобный рабочий</v>
      </c>
      <c r="C102" t="str">
        <f>TEXT([1]TDSheet!C103,"ДД.ММ.ГГГГ")</f>
        <v>28.04.1996</v>
      </c>
      <c r="D102" t="str">
        <f>[1]TDSheet!D103</f>
        <v>ТАДЖИКИСТАН</v>
      </c>
      <c r="E102" t="str">
        <f>[1]TDSheet!E103</f>
        <v>770177283951</v>
      </c>
      <c r="F102">
        <f>[1]TDSheet!F103</f>
        <v>0</v>
      </c>
      <c r="G102" t="str">
        <f>[1]TDSheet!G103</f>
        <v>Иностранный паспорт</v>
      </c>
      <c r="H102" t="str">
        <f>[1]TDSheet!H103</f>
        <v>Серия</v>
      </c>
      <c r="I102" t="str">
        <f>[1]TDSheet!I103</f>
        <v>TJK</v>
      </c>
      <c r="J102" t="str">
        <f>[1]TDSheet!J103</f>
        <v>Номер</v>
      </c>
      <c r="K102">
        <f>[1]TDSheet!K103</f>
        <v>400621302</v>
      </c>
      <c r="L102" t="str">
        <f>[1]TDSheet!L103</f>
        <v>Выдан</v>
      </c>
      <c r="M102" t="str">
        <f>TEXT([1]TDSheet!M103,"ДД.ММ.ГГГГ")</f>
        <v>21.04.2015</v>
      </c>
      <c r="N102" t="str">
        <f>[1]TDSheet!N103</f>
        <v>МВД г. Чоми</v>
      </c>
      <c r="O102">
        <f>[1]TDSheet!O103</f>
        <v>0</v>
      </c>
      <c r="P102" t="str">
        <f>[1]TDSheet!P103</f>
        <v>Серия TJK Номер 400621302,Выдан 21.04.2015 МВД г. Чоми</v>
      </c>
      <c r="Q102" t="str">
        <f>[1]TDSheet!Q103</f>
        <v>г.Москва п. Новофедоровское д. Архангельское дом 4</v>
      </c>
      <c r="R102" t="str">
        <f>[1]TDSheet!R103</f>
        <v>г.Москва п. Новофедоровское д. Архангельское дом 5</v>
      </c>
      <c r="S102" t="str">
        <f>[1]TDSheet!S103</f>
        <v xml:space="preserve">Патент: серия 77 №2105326821 от20.10.2021  Отдел внешней трудовой миграции УВМ ГУ МВД </v>
      </c>
      <c r="T102">
        <f>[1]TDSheet!T103</f>
        <v>0</v>
      </c>
      <c r="U102">
        <f>[1]TDSheet!U103</f>
        <v>172</v>
      </c>
      <c r="V102">
        <f>[1]TDSheet!V103</f>
        <v>48</v>
      </c>
      <c r="W102">
        <f>[1]TDSheet!W103</f>
        <v>41</v>
      </c>
      <c r="X102">
        <f>[1]TDSheet!X103</f>
        <v>0</v>
      </c>
      <c r="Y102">
        <f>[1]TDSheet!Y103</f>
        <v>0</v>
      </c>
      <c r="Z102">
        <f>[1]TDSheet!Z103</f>
        <v>44704</v>
      </c>
      <c r="AA102" t="str">
        <f>[1]TDSheet!AA103</f>
        <v>23/05-60_2022</v>
      </c>
      <c r="AB102">
        <f>[1]TDSheet!AB103</f>
        <v>0</v>
      </c>
      <c r="AC102">
        <f>[1]TDSheet!AC103</f>
        <v>0</v>
      </c>
      <c r="AD102">
        <f>[1]TDSheet!AD103</f>
        <v>0</v>
      </c>
      <c r="AE102">
        <f>[1]TDSheet!AE103</f>
        <v>0</v>
      </c>
      <c r="AF102">
        <f>[1]TDSheet!AF103</f>
        <v>0</v>
      </c>
      <c r="AG102">
        <f>[1]TDSheet!AG103</f>
        <v>0</v>
      </c>
      <c r="AH102">
        <f>[1]TDSheet!AH103</f>
        <v>0</v>
      </c>
      <c r="AI102">
        <f>[1]TDSheet!AI103</f>
        <v>0</v>
      </c>
      <c r="AJ102">
        <f>[1]TDSheet!AJ103</f>
        <v>0</v>
      </c>
      <c r="AK102">
        <f>[1]TDSheet!AK103</f>
        <v>0</v>
      </c>
      <c r="AL102">
        <f>[1]TDSheet!AL103</f>
        <v>0</v>
      </c>
      <c r="AM102">
        <f>[1]TDSheet!AM103</f>
        <v>0</v>
      </c>
      <c r="AN102">
        <f>[1]TDSheet!AN103</f>
        <v>0</v>
      </c>
      <c r="AO102">
        <f>[1]TDSheet!AO103</f>
        <v>0</v>
      </c>
      <c r="AP102">
        <f>[1]TDSheet!AP103</f>
        <v>0</v>
      </c>
      <c r="AQ102">
        <f>[1]TDSheet!AQ103</f>
        <v>0</v>
      </c>
      <c r="AR102">
        <f>[1]TDSheet!AR103</f>
        <v>0</v>
      </c>
      <c r="AS102">
        <f>[1]TDSheet!AS103</f>
        <v>0</v>
      </c>
      <c r="AT102">
        <f>[1]TDSheet!AT103</f>
        <v>0</v>
      </c>
      <c r="AU102">
        <f>[1]TDSheet!AU103</f>
        <v>0</v>
      </c>
      <c r="AV102">
        <f>[1]TDSheet!AV103</f>
        <v>0</v>
      </c>
      <c r="AW102">
        <f>[1]TDSheet!AW103</f>
        <v>0</v>
      </c>
      <c r="AX102">
        <f>[1]TDSheet!AX103</f>
        <v>0</v>
      </c>
      <c r="AY102">
        <f>[1]TDSheet!AY103</f>
        <v>0</v>
      </c>
      <c r="AZ102">
        <f>[1]TDSheet!AZ103</f>
        <v>0</v>
      </c>
      <c r="BA102">
        <f>[1]TDSheet!BA103</f>
        <v>0</v>
      </c>
      <c r="BB102">
        <f>[1]TDSheet!BB103</f>
        <v>0</v>
      </c>
      <c r="BC102">
        <f>[1]TDSheet!BC103</f>
        <v>0</v>
      </c>
      <c r="BD102">
        <f>[1]TDSheet!BD103</f>
        <v>0</v>
      </c>
      <c r="BE102">
        <f>[1]TDSheet!BE103</f>
        <v>0</v>
      </c>
    </row>
    <row r="103" spans="1:57" x14ac:dyDescent="0.25">
      <c r="A103" t="str">
        <f>[1]TDSheet!A104</f>
        <v>Абдулваххобов Абдулхамид Пулодович</v>
      </c>
      <c r="B103" t="str">
        <f>[1]TDSheet!B104</f>
        <v>Подсобный рабочий</v>
      </c>
      <c r="C103" t="str">
        <f>TEXT([1]TDSheet!C104,"ДД.ММ.ГГГГ")</f>
        <v>10.07.1972</v>
      </c>
      <c r="D103" t="str">
        <f>[1]TDSheet!D104</f>
        <v>ТАДЖИКИСТАН</v>
      </c>
      <c r="E103">
        <f>[1]TDSheet!E104</f>
        <v>0</v>
      </c>
      <c r="F103">
        <f>[1]TDSheet!F104</f>
        <v>0</v>
      </c>
      <c r="G103" t="str">
        <f>[1]TDSheet!G104</f>
        <v>Иностранный паспорт</v>
      </c>
      <c r="H103" t="str">
        <f>[1]TDSheet!H104</f>
        <v>Серия</v>
      </c>
      <c r="I103" t="str">
        <f>[1]TDSheet!I104</f>
        <v>TJK</v>
      </c>
      <c r="J103" t="str">
        <f>[1]TDSheet!J104</f>
        <v>Номер</v>
      </c>
      <c r="K103">
        <f>[1]TDSheet!K104</f>
        <v>401712150</v>
      </c>
      <c r="L103" t="str">
        <f>[1]TDSheet!L104</f>
        <v>Выдан</v>
      </c>
      <c r="M103" t="str">
        <f>TEXT([1]TDSheet!M104,"ДД.ММ.ГГГГ")</f>
        <v>18.09.2017</v>
      </c>
      <c r="N103" t="str">
        <f>[1]TDSheet!N104</f>
        <v>МВД Таджикистана</v>
      </c>
      <c r="O103">
        <f>[1]TDSheet!O104</f>
        <v>0</v>
      </c>
      <c r="P103" t="str">
        <f>[1]TDSheet!P104</f>
        <v>Серия TJK Номер 401712150,Выдан 18.09.2017 МВД Таджикистана</v>
      </c>
      <c r="Q103" t="str">
        <f>[1]TDSheet!Q104</f>
        <v>г.Москва, Силикатный проезд 19/2 стр 28 комната 301</v>
      </c>
      <c r="R103" t="str">
        <f>[1]TDSheet!R104</f>
        <v>г.Москва, Силикатный проезд 19/2 стр 28 комната 301</v>
      </c>
      <c r="S103" t="str">
        <f>[1]TDSheet!S104</f>
        <v xml:space="preserve">Патент: серия 77 №21033927701 от11.08.2021  Отдел внешней трудовой миграции УВМ ГУ МВД </v>
      </c>
      <c r="T103">
        <f>[1]TDSheet!T104</f>
        <v>0</v>
      </c>
      <c r="U103">
        <f>[1]TDSheet!U104</f>
        <v>0</v>
      </c>
      <c r="V103">
        <f>[1]TDSheet!V104</f>
        <v>0</v>
      </c>
      <c r="W103">
        <f>[1]TDSheet!W104</f>
        <v>0</v>
      </c>
      <c r="X103">
        <f>[1]TDSheet!X104</f>
        <v>0</v>
      </c>
      <c r="Y103">
        <f>[1]TDSheet!Y104</f>
        <v>0</v>
      </c>
      <c r="Z103">
        <f>[1]TDSheet!Z104</f>
        <v>44705</v>
      </c>
      <c r="AA103" t="str">
        <f>[1]TDSheet!AA104</f>
        <v>24/05-61_2022</v>
      </c>
      <c r="AB103">
        <f>[1]TDSheet!AB104</f>
        <v>0</v>
      </c>
      <c r="AC103">
        <f>[1]TDSheet!AC104</f>
        <v>0</v>
      </c>
      <c r="AD103">
        <f>[1]TDSheet!AD104</f>
        <v>0</v>
      </c>
      <c r="AE103">
        <f>[1]TDSheet!AE104</f>
        <v>0</v>
      </c>
      <c r="AF103">
        <f>[1]TDSheet!AF104</f>
        <v>0</v>
      </c>
      <c r="AG103">
        <f>[1]TDSheet!AG104</f>
        <v>0</v>
      </c>
      <c r="AH103">
        <f>[1]TDSheet!AH104</f>
        <v>0</v>
      </c>
      <c r="AI103">
        <f>[1]TDSheet!AI104</f>
        <v>0</v>
      </c>
      <c r="AJ103">
        <f>[1]TDSheet!AJ104</f>
        <v>0</v>
      </c>
      <c r="AK103">
        <f>[1]TDSheet!AK104</f>
        <v>0</v>
      </c>
      <c r="AL103">
        <f>[1]TDSheet!AL104</f>
        <v>0</v>
      </c>
      <c r="AM103">
        <f>[1]TDSheet!AM104</f>
        <v>0</v>
      </c>
      <c r="AN103">
        <f>[1]TDSheet!AN104</f>
        <v>0</v>
      </c>
      <c r="AO103">
        <f>[1]TDSheet!AO104</f>
        <v>0</v>
      </c>
      <c r="AP103">
        <f>[1]TDSheet!AP104</f>
        <v>0</v>
      </c>
      <c r="AQ103">
        <f>[1]TDSheet!AQ104</f>
        <v>0</v>
      </c>
      <c r="AR103">
        <f>[1]TDSheet!AR104</f>
        <v>0</v>
      </c>
      <c r="AS103">
        <f>[1]TDSheet!AS104</f>
        <v>0</v>
      </c>
      <c r="AT103">
        <f>[1]TDSheet!AT104</f>
        <v>0</v>
      </c>
      <c r="AU103">
        <f>[1]TDSheet!AU104</f>
        <v>0</v>
      </c>
      <c r="AV103">
        <f>[1]TDSheet!AV104</f>
        <v>0</v>
      </c>
      <c r="AW103">
        <f>[1]TDSheet!AW104</f>
        <v>0</v>
      </c>
      <c r="AX103">
        <f>[1]TDSheet!AX104</f>
        <v>0</v>
      </c>
      <c r="AY103">
        <f>[1]TDSheet!AY104</f>
        <v>0</v>
      </c>
      <c r="AZ103">
        <f>[1]TDSheet!AZ104</f>
        <v>0</v>
      </c>
      <c r="BA103">
        <f>[1]TDSheet!BA104</f>
        <v>0</v>
      </c>
      <c r="BB103">
        <f>[1]TDSheet!BB104</f>
        <v>0</v>
      </c>
      <c r="BC103">
        <f>[1]TDSheet!BC104</f>
        <v>0</v>
      </c>
      <c r="BD103">
        <f>[1]TDSheet!BD104</f>
        <v>0</v>
      </c>
      <c r="BE103">
        <f>[1]TDSheet!BE104</f>
        <v>0</v>
      </c>
    </row>
    <row r="104" spans="1:57" x14ac:dyDescent="0.25">
      <c r="A104" t="str">
        <f>[1]TDSheet!A105</f>
        <v>Комилджони Мирзомудин</v>
      </c>
      <c r="B104" t="str">
        <f>[1]TDSheet!B105</f>
        <v>Подсобный рабочий</v>
      </c>
      <c r="C104" t="str">
        <f>TEXT([1]TDSheet!C105,"ДД.ММ.ГГГГ")</f>
        <v>26.07.2022</v>
      </c>
      <c r="D104" t="str">
        <f>[1]TDSheet!D105</f>
        <v>ТАДЖИКИСТАН</v>
      </c>
      <c r="E104" t="str">
        <f>[1]TDSheet!E105</f>
        <v>972101278213</v>
      </c>
      <c r="F104">
        <f>[1]TDSheet!F105</f>
        <v>0</v>
      </c>
      <c r="G104" t="str">
        <f>[1]TDSheet!G105</f>
        <v>Иностранный паспорт</v>
      </c>
      <c r="H104" t="str">
        <f>[1]TDSheet!H105</f>
        <v>Серия</v>
      </c>
      <c r="I104" t="str">
        <f>[1]TDSheet!I105</f>
        <v>TJK</v>
      </c>
      <c r="J104" t="str">
        <f>[1]TDSheet!J105</f>
        <v>Номер</v>
      </c>
      <c r="K104">
        <f>[1]TDSheet!K105</f>
        <v>402594958</v>
      </c>
      <c r="L104" t="str">
        <f>[1]TDSheet!L105</f>
        <v>Выдан</v>
      </c>
      <c r="M104" t="str">
        <f>TEXT([1]TDSheet!M105,"ДД.ММ.ГГГГ")</f>
        <v>18.04.2019</v>
      </c>
      <c r="N104" t="str">
        <f>[1]TDSheet!N105</f>
        <v>МВД г. Муминобод</v>
      </c>
      <c r="O104">
        <f>[1]TDSheet!O105</f>
        <v>0</v>
      </c>
      <c r="P104" t="str">
        <f>[1]TDSheet!P105</f>
        <v>Серия TJK Номер 402594958,Выдан 18.04.2019 МВД г. Муминобод</v>
      </c>
      <c r="Q104" t="str">
        <f>[1]TDSheet!Q105</f>
        <v>РОССИЯ, 107113, Москва г, ул Сокольнический Вал, д. 1Ж, стр. 4</v>
      </c>
      <c r="R104" t="str">
        <f>[1]TDSheet!R105</f>
        <v>РОССИЯ, 107113, Москва г, ул Сокольнический Вал, д. 1Ж, стр. 4</v>
      </c>
      <c r="S104" t="str">
        <f>[1]TDSheet!S105</f>
        <v xml:space="preserve">Патент: серия 77 №2201471719 от06.04.2022  Отдел внешней трудовой миграции УВМ ГУ МВД </v>
      </c>
      <c r="T104">
        <f>[1]TDSheet!T105</f>
        <v>0</v>
      </c>
      <c r="U104">
        <f>[1]TDSheet!U105</f>
        <v>0</v>
      </c>
      <c r="V104">
        <f>[1]TDSheet!V105</f>
        <v>0</v>
      </c>
      <c r="W104">
        <f>[1]TDSheet!W105</f>
        <v>0</v>
      </c>
      <c r="X104">
        <f>[1]TDSheet!X105</f>
        <v>0</v>
      </c>
      <c r="Y104">
        <f>[1]TDSheet!Y105</f>
        <v>0</v>
      </c>
      <c r="Z104">
        <f>[1]TDSheet!Z105</f>
        <v>44705</v>
      </c>
      <c r="AA104" t="str">
        <f>[1]TDSheet!AA105</f>
        <v>24/05-62_2022</v>
      </c>
      <c r="AB104">
        <f>[1]TDSheet!AB105</f>
        <v>0</v>
      </c>
      <c r="AC104">
        <f>[1]TDSheet!AC105</f>
        <v>0</v>
      </c>
      <c r="AD104">
        <f>[1]TDSheet!AD105</f>
        <v>0</v>
      </c>
      <c r="AE104">
        <f>[1]TDSheet!AE105</f>
        <v>0</v>
      </c>
      <c r="AF104">
        <f>[1]TDSheet!AF105</f>
        <v>0</v>
      </c>
      <c r="AG104">
        <f>[1]TDSheet!AG105</f>
        <v>0</v>
      </c>
      <c r="AH104">
        <f>[1]TDSheet!AH105</f>
        <v>0</v>
      </c>
      <c r="AI104">
        <f>[1]TDSheet!AI105</f>
        <v>0</v>
      </c>
      <c r="AJ104">
        <f>[1]TDSheet!AJ105</f>
        <v>0</v>
      </c>
      <c r="AK104">
        <f>[1]TDSheet!AK105</f>
        <v>0</v>
      </c>
      <c r="AL104">
        <f>[1]TDSheet!AL105</f>
        <v>0</v>
      </c>
      <c r="AM104">
        <f>[1]TDSheet!AM105</f>
        <v>0</v>
      </c>
      <c r="AN104">
        <f>[1]TDSheet!AN105</f>
        <v>0</v>
      </c>
      <c r="AO104">
        <f>[1]TDSheet!AO105</f>
        <v>0</v>
      </c>
      <c r="AP104">
        <f>[1]TDSheet!AP105</f>
        <v>0</v>
      </c>
      <c r="AQ104">
        <f>[1]TDSheet!AQ105</f>
        <v>0</v>
      </c>
      <c r="AR104">
        <f>[1]TDSheet!AR105</f>
        <v>0</v>
      </c>
      <c r="AS104">
        <f>[1]TDSheet!AS105</f>
        <v>0</v>
      </c>
      <c r="AT104">
        <f>[1]TDSheet!AT105</f>
        <v>0</v>
      </c>
      <c r="AU104">
        <f>[1]TDSheet!AU105</f>
        <v>0</v>
      </c>
      <c r="AV104">
        <f>[1]TDSheet!AV105</f>
        <v>0</v>
      </c>
      <c r="AW104">
        <f>[1]TDSheet!AW105</f>
        <v>0</v>
      </c>
      <c r="AX104">
        <f>[1]TDSheet!AX105</f>
        <v>0</v>
      </c>
      <c r="AY104">
        <f>[1]TDSheet!AY105</f>
        <v>0</v>
      </c>
      <c r="AZ104">
        <f>[1]TDSheet!AZ105</f>
        <v>0</v>
      </c>
      <c r="BA104">
        <f>[1]TDSheet!BA105</f>
        <v>0</v>
      </c>
      <c r="BB104">
        <f>[1]TDSheet!BB105</f>
        <v>0</v>
      </c>
      <c r="BC104">
        <f>[1]TDSheet!BC105</f>
        <v>0</v>
      </c>
      <c r="BD104">
        <f>[1]TDSheet!BD105</f>
        <v>0</v>
      </c>
      <c r="BE104">
        <f>[1]TDSheet!BE105</f>
        <v>0</v>
      </c>
    </row>
    <row r="105" spans="1:57" x14ac:dyDescent="0.25">
      <c r="A105" t="str">
        <f>[1]TDSheet!A106</f>
        <v>Махмудов Асадулло Хабибович</v>
      </c>
      <c r="B105" t="str">
        <f>[1]TDSheet!B106</f>
        <v>Подсобный рабочий</v>
      </c>
      <c r="C105" t="str">
        <f>TEXT([1]TDSheet!C106,"ДД.ММ.ГГГГ")</f>
        <v>04.11.1969</v>
      </c>
      <c r="D105" t="str">
        <f>[1]TDSheet!D106</f>
        <v>ТАДЖИКИСТАН</v>
      </c>
      <c r="E105">
        <f>[1]TDSheet!E106</f>
        <v>0</v>
      </c>
      <c r="F105">
        <f>[1]TDSheet!F106</f>
        <v>0</v>
      </c>
      <c r="G105" t="str">
        <f>[1]TDSheet!G106</f>
        <v>Иностранный паспорт</v>
      </c>
      <c r="H105" t="str">
        <f>[1]TDSheet!H106</f>
        <v>Серия</v>
      </c>
      <c r="I105" t="str">
        <f>[1]TDSheet!I106</f>
        <v>TJK</v>
      </c>
      <c r="J105" t="str">
        <f>[1]TDSheet!J106</f>
        <v>Номер</v>
      </c>
      <c r="K105">
        <f>[1]TDSheet!K106</f>
        <v>402281717</v>
      </c>
      <c r="L105" t="str">
        <f>[1]TDSheet!L106</f>
        <v>Выдан</v>
      </c>
      <c r="M105" t="str">
        <f>TEXT([1]TDSheet!M106,"ДД.ММ.ГГГГ")</f>
        <v>11.09.2018</v>
      </c>
      <c r="N105" t="str">
        <f>[1]TDSheet!N106</f>
        <v>МВД Таджикистана</v>
      </c>
      <c r="O105">
        <f>[1]TDSheet!O106</f>
        <v>0</v>
      </c>
      <c r="P105" t="str">
        <f>[1]TDSheet!P106</f>
        <v>Серия TJK Номер 402281717,Выдан 11.09.2018 МВД Таджикистана</v>
      </c>
      <c r="Q105" t="str">
        <f>[1]TDSheet!Q106</f>
        <v>РОССИЯ, 107113, Москва г, ул Сокольнический Вал, д. 1Ж, стр. 4</v>
      </c>
      <c r="R105" t="str">
        <f>[1]TDSheet!R106</f>
        <v>РОССИЯ, 107113, Москва г, ул Сокольнический Вал, д. 1Ж, стр. 4</v>
      </c>
      <c r="S105" t="str">
        <f>[1]TDSheet!S106</f>
        <v xml:space="preserve">Патент: серия 77 №2105688772 от10.11.2021  Отдел внешней трудовой миграции УВМ ГУ МВД </v>
      </c>
      <c r="T105">
        <f>[1]TDSheet!T106</f>
        <v>0</v>
      </c>
      <c r="U105">
        <f>[1]TDSheet!U106</f>
        <v>0</v>
      </c>
      <c r="V105">
        <f>[1]TDSheet!V106</f>
        <v>0</v>
      </c>
      <c r="W105">
        <f>[1]TDSheet!W106</f>
        <v>0</v>
      </c>
      <c r="X105">
        <f>[1]TDSheet!X106</f>
        <v>0</v>
      </c>
      <c r="Y105">
        <f>[1]TDSheet!Y106</f>
        <v>0</v>
      </c>
      <c r="Z105">
        <f>[1]TDSheet!Z106</f>
        <v>44705</v>
      </c>
      <c r="AA105" t="str">
        <f>[1]TDSheet!AA106</f>
        <v>24/05-63_2022</v>
      </c>
      <c r="AB105">
        <f>[1]TDSheet!AB106</f>
        <v>0</v>
      </c>
      <c r="AC105">
        <f>[1]TDSheet!AC106</f>
        <v>0</v>
      </c>
      <c r="AD105">
        <f>[1]TDSheet!AD106</f>
        <v>0</v>
      </c>
      <c r="AE105">
        <f>[1]TDSheet!AE106</f>
        <v>0</v>
      </c>
      <c r="AF105">
        <f>[1]TDSheet!AF106</f>
        <v>0</v>
      </c>
      <c r="AG105">
        <f>[1]TDSheet!AG106</f>
        <v>0</v>
      </c>
      <c r="AH105">
        <f>[1]TDSheet!AH106</f>
        <v>0</v>
      </c>
      <c r="AI105">
        <f>[1]TDSheet!AI106</f>
        <v>0</v>
      </c>
      <c r="AJ105">
        <f>[1]TDSheet!AJ106</f>
        <v>0</v>
      </c>
      <c r="AK105">
        <f>[1]TDSheet!AK106</f>
        <v>0</v>
      </c>
      <c r="AL105">
        <f>[1]TDSheet!AL106</f>
        <v>0</v>
      </c>
      <c r="AM105">
        <f>[1]TDSheet!AM106</f>
        <v>0</v>
      </c>
      <c r="AN105">
        <f>[1]TDSheet!AN106</f>
        <v>0</v>
      </c>
      <c r="AO105">
        <f>[1]TDSheet!AO106</f>
        <v>0</v>
      </c>
      <c r="AP105">
        <f>[1]TDSheet!AP106</f>
        <v>0</v>
      </c>
      <c r="AQ105">
        <f>[1]TDSheet!AQ106</f>
        <v>0</v>
      </c>
      <c r="AR105">
        <f>[1]TDSheet!AR106</f>
        <v>0</v>
      </c>
      <c r="AS105">
        <f>[1]TDSheet!AS106</f>
        <v>0</v>
      </c>
      <c r="AT105">
        <f>[1]TDSheet!AT106</f>
        <v>0</v>
      </c>
      <c r="AU105">
        <f>[1]TDSheet!AU106</f>
        <v>0</v>
      </c>
      <c r="AV105">
        <f>[1]TDSheet!AV106</f>
        <v>0</v>
      </c>
      <c r="AW105">
        <f>[1]TDSheet!AW106</f>
        <v>0</v>
      </c>
      <c r="AX105">
        <f>[1]TDSheet!AX106</f>
        <v>0</v>
      </c>
      <c r="AY105">
        <f>[1]TDSheet!AY106</f>
        <v>0</v>
      </c>
      <c r="AZ105">
        <f>[1]TDSheet!AZ106</f>
        <v>0</v>
      </c>
      <c r="BA105">
        <f>[1]TDSheet!BA106</f>
        <v>0</v>
      </c>
      <c r="BB105">
        <f>[1]TDSheet!BB106</f>
        <v>0</v>
      </c>
      <c r="BC105">
        <f>[1]TDSheet!BC106</f>
        <v>0</v>
      </c>
      <c r="BD105">
        <f>[1]TDSheet!BD106</f>
        <v>0</v>
      </c>
      <c r="BE105">
        <f>[1]TDSheet!BE106</f>
        <v>0</v>
      </c>
    </row>
    <row r="106" spans="1:57" x14ac:dyDescent="0.25">
      <c r="A106" t="str">
        <f>[1]TDSheet!A107</f>
        <v>Нуров Эмомали Рамазонович</v>
      </c>
      <c r="B106" t="str">
        <f>[1]TDSheet!B107</f>
        <v>Подсобный рабочий</v>
      </c>
      <c r="C106" t="str">
        <f>TEXT([1]TDSheet!C107,"ДД.ММ.ГГГГ")</f>
        <v>03.09.1993</v>
      </c>
      <c r="D106" t="str">
        <f>[1]TDSheet!D107</f>
        <v>ТАДЖИКИСТАН</v>
      </c>
      <c r="E106">
        <f>[1]TDSheet!E107</f>
        <v>0</v>
      </c>
      <c r="F106">
        <f>[1]TDSheet!F107</f>
        <v>0</v>
      </c>
      <c r="G106" t="str">
        <f>[1]TDSheet!G107</f>
        <v>Иностранный паспорт</v>
      </c>
      <c r="H106" t="str">
        <f>[1]TDSheet!H107</f>
        <v>Серия</v>
      </c>
      <c r="I106" t="str">
        <f>[1]TDSheet!I107</f>
        <v>TJK</v>
      </c>
      <c r="J106" t="str">
        <f>[1]TDSheet!J107</f>
        <v>Номер</v>
      </c>
      <c r="K106">
        <f>[1]TDSheet!K107</f>
        <v>403347388</v>
      </c>
      <c r="L106" t="str">
        <f>[1]TDSheet!L107</f>
        <v>Выдан</v>
      </c>
      <c r="M106" t="str">
        <f>TEXT([1]TDSheet!M107,"ДД.ММ.ГГГГ")</f>
        <v>17.05.2021</v>
      </c>
      <c r="N106" t="str">
        <f>[1]TDSheet!N107</f>
        <v>МВД г. Муминобод</v>
      </c>
      <c r="O106">
        <f>[1]TDSheet!O107</f>
        <v>0</v>
      </c>
      <c r="P106" t="str">
        <f>[1]TDSheet!P107</f>
        <v>Серия TJK Номер 403347388,Выдан 17.05.2021 МВД г. Муминобод</v>
      </c>
      <c r="Q106" t="str">
        <f>[1]TDSheet!Q107</f>
        <v>РОССИЯ, 107113, Москва г, ул Сокольнический Вал, д. 1Ж, стр. 4</v>
      </c>
      <c r="R106" t="str">
        <f>[1]TDSheet!R107</f>
        <v>РОССИЯ, 107113, Москва г, ул Сокольнический Вал, д. 1Ж, стр. 4</v>
      </c>
      <c r="S106" t="str">
        <f>[1]TDSheet!S107</f>
        <v xml:space="preserve">Патент: серия 77 №2105285808 от19.10..2021  Отдел внешней трудовой миграции УВМ ГУ МВД </v>
      </c>
      <c r="T106">
        <f>[1]TDSheet!T107</f>
        <v>0</v>
      </c>
      <c r="U106">
        <f>[1]TDSheet!U107</f>
        <v>0</v>
      </c>
      <c r="V106">
        <f>[1]TDSheet!V107</f>
        <v>0</v>
      </c>
      <c r="W106">
        <f>[1]TDSheet!W107</f>
        <v>0</v>
      </c>
      <c r="X106">
        <f>[1]TDSheet!X107</f>
        <v>0</v>
      </c>
      <c r="Y106">
        <f>[1]TDSheet!Y107</f>
        <v>0</v>
      </c>
      <c r="Z106">
        <f>[1]TDSheet!Z107</f>
        <v>44705</v>
      </c>
      <c r="AA106" t="str">
        <f>[1]TDSheet!AA107</f>
        <v>24/05-64_2022</v>
      </c>
      <c r="AB106">
        <f>[1]TDSheet!AB107</f>
        <v>0</v>
      </c>
      <c r="AC106">
        <f>[1]TDSheet!AC107</f>
        <v>0</v>
      </c>
      <c r="AD106">
        <f>[1]TDSheet!AD107</f>
        <v>0</v>
      </c>
      <c r="AE106">
        <f>[1]TDSheet!AE107</f>
        <v>0</v>
      </c>
      <c r="AF106">
        <f>[1]TDSheet!AF107</f>
        <v>0</v>
      </c>
      <c r="AG106">
        <f>[1]TDSheet!AG107</f>
        <v>0</v>
      </c>
      <c r="AH106">
        <f>[1]TDSheet!AH107</f>
        <v>0</v>
      </c>
      <c r="AI106">
        <f>[1]TDSheet!AI107</f>
        <v>0</v>
      </c>
      <c r="AJ106">
        <f>[1]TDSheet!AJ107</f>
        <v>0</v>
      </c>
      <c r="AK106">
        <f>[1]TDSheet!AK107</f>
        <v>0</v>
      </c>
      <c r="AL106">
        <f>[1]TDSheet!AL107</f>
        <v>0</v>
      </c>
      <c r="AM106">
        <f>[1]TDSheet!AM107</f>
        <v>0</v>
      </c>
      <c r="AN106">
        <f>[1]TDSheet!AN107</f>
        <v>0</v>
      </c>
      <c r="AO106">
        <f>[1]TDSheet!AO107</f>
        <v>0</v>
      </c>
      <c r="AP106">
        <f>[1]TDSheet!AP107</f>
        <v>0</v>
      </c>
      <c r="AQ106">
        <f>[1]TDSheet!AQ107</f>
        <v>0</v>
      </c>
      <c r="AR106">
        <f>[1]TDSheet!AR107</f>
        <v>0</v>
      </c>
      <c r="AS106">
        <f>[1]TDSheet!AS107</f>
        <v>0</v>
      </c>
      <c r="AT106">
        <f>[1]TDSheet!AT107</f>
        <v>0</v>
      </c>
      <c r="AU106">
        <f>[1]TDSheet!AU107</f>
        <v>0</v>
      </c>
      <c r="AV106">
        <f>[1]TDSheet!AV107</f>
        <v>0</v>
      </c>
      <c r="AW106">
        <f>[1]TDSheet!AW107</f>
        <v>0</v>
      </c>
      <c r="AX106">
        <f>[1]TDSheet!AX107</f>
        <v>0</v>
      </c>
      <c r="AY106">
        <f>[1]TDSheet!AY107</f>
        <v>0</v>
      </c>
      <c r="AZ106">
        <f>[1]TDSheet!AZ107</f>
        <v>0</v>
      </c>
      <c r="BA106">
        <f>[1]TDSheet!BA107</f>
        <v>0</v>
      </c>
      <c r="BB106">
        <f>[1]TDSheet!BB107</f>
        <v>0</v>
      </c>
      <c r="BC106">
        <f>[1]TDSheet!BC107</f>
        <v>0</v>
      </c>
      <c r="BD106">
        <f>[1]TDSheet!BD107</f>
        <v>0</v>
      </c>
      <c r="BE106">
        <f>[1]TDSheet!BE107</f>
        <v>0</v>
      </c>
    </row>
    <row r="107" spans="1:57" x14ac:dyDescent="0.25">
      <c r="A107" t="str">
        <f>[1]TDSheet!A108</f>
        <v>Халимзода Шукрулло Саъди</v>
      </c>
      <c r="B107" t="str">
        <f>[1]TDSheet!B108</f>
        <v>Подсобный рабочий</v>
      </c>
      <c r="C107" t="str">
        <f>TEXT([1]TDSheet!C108,"ДД.ММ.ГГГГ")</f>
        <v>08.01.2002</v>
      </c>
      <c r="D107" t="str">
        <f>[1]TDSheet!D108</f>
        <v>ТАДЖИКИСТАН</v>
      </c>
      <c r="E107">
        <f>[1]TDSheet!E108</f>
        <v>0</v>
      </c>
      <c r="F107">
        <f>[1]TDSheet!F108</f>
        <v>0</v>
      </c>
      <c r="G107" t="str">
        <f>[1]TDSheet!G108</f>
        <v>Иностранный паспорт</v>
      </c>
      <c r="H107" t="str">
        <f>[1]TDSheet!H108</f>
        <v>Серия</v>
      </c>
      <c r="I107" t="str">
        <f>[1]TDSheet!I108</f>
        <v>TJK</v>
      </c>
      <c r="J107" t="str">
        <f>[1]TDSheet!J108</f>
        <v>Номер</v>
      </c>
      <c r="K107">
        <f>[1]TDSheet!K108</f>
        <v>402834361</v>
      </c>
      <c r="L107" t="str">
        <f>[1]TDSheet!L108</f>
        <v>Выдан</v>
      </c>
      <c r="M107" t="str">
        <f>TEXT([1]TDSheet!M108,"ДД.ММ.ГГГГ")</f>
        <v>14.09.2019</v>
      </c>
      <c r="N107" t="str">
        <f>[1]TDSheet!N108</f>
        <v>МВД г. Кулоб</v>
      </c>
      <c r="O107">
        <f>[1]TDSheet!O108</f>
        <v>0</v>
      </c>
      <c r="P107" t="str">
        <f>[1]TDSheet!P108</f>
        <v>Серия TJK Номер 402834361,Выдан 14.09.2019 МВД г. Кулоб</v>
      </c>
      <c r="Q107" t="str">
        <f>[1]TDSheet!Q108</f>
        <v>РОССИЯ, 107113, Москва г, ул Сокольнический Вал, д. 1Ж, стр. 4</v>
      </c>
      <c r="R107" t="str">
        <f>[1]TDSheet!R108</f>
        <v>РОССИЯ, 107113, Москва г, ул Сокольнический Вал, д. 1Ж, стр. 4</v>
      </c>
      <c r="S107" t="str">
        <f>[1]TDSheet!S108</f>
        <v xml:space="preserve">Патент: серия 77 №2104331000 от16.09.2021  Отдел внешней трудовой миграции УВМ ГУ МВД </v>
      </c>
      <c r="T107">
        <f>[1]TDSheet!T108</f>
        <v>0</v>
      </c>
      <c r="U107">
        <f>[1]TDSheet!U108</f>
        <v>0</v>
      </c>
      <c r="V107">
        <f>[1]TDSheet!V108</f>
        <v>0</v>
      </c>
      <c r="W107">
        <f>[1]TDSheet!W108</f>
        <v>0</v>
      </c>
      <c r="X107">
        <f>[1]TDSheet!X108</f>
        <v>0</v>
      </c>
      <c r="Y107">
        <f>[1]TDSheet!Y108</f>
        <v>0</v>
      </c>
      <c r="Z107">
        <f>[1]TDSheet!Z108</f>
        <v>44705</v>
      </c>
      <c r="AA107" t="str">
        <f>[1]TDSheet!AA108</f>
        <v>24/05-65_2022</v>
      </c>
      <c r="AB107">
        <f>[1]TDSheet!AB108</f>
        <v>0</v>
      </c>
      <c r="AC107">
        <f>[1]TDSheet!AC108</f>
        <v>0</v>
      </c>
      <c r="AD107">
        <f>[1]TDSheet!AD108</f>
        <v>0</v>
      </c>
      <c r="AE107">
        <f>[1]TDSheet!AE108</f>
        <v>0</v>
      </c>
      <c r="AF107">
        <f>[1]TDSheet!AF108</f>
        <v>0</v>
      </c>
      <c r="AG107">
        <f>[1]TDSheet!AG108</f>
        <v>0</v>
      </c>
      <c r="AH107">
        <f>[1]TDSheet!AH108</f>
        <v>0</v>
      </c>
      <c r="AI107">
        <f>[1]TDSheet!AI108</f>
        <v>0</v>
      </c>
      <c r="AJ107">
        <f>[1]TDSheet!AJ108</f>
        <v>0</v>
      </c>
      <c r="AK107">
        <f>[1]TDSheet!AK108</f>
        <v>0</v>
      </c>
      <c r="AL107">
        <f>[1]TDSheet!AL108</f>
        <v>0</v>
      </c>
      <c r="AM107">
        <f>[1]TDSheet!AM108</f>
        <v>0</v>
      </c>
      <c r="AN107">
        <f>[1]TDSheet!AN108</f>
        <v>0</v>
      </c>
      <c r="AO107">
        <f>[1]TDSheet!AO108</f>
        <v>0</v>
      </c>
      <c r="AP107">
        <f>[1]TDSheet!AP108</f>
        <v>0</v>
      </c>
      <c r="AQ107">
        <f>[1]TDSheet!AQ108</f>
        <v>0</v>
      </c>
      <c r="AR107">
        <f>[1]TDSheet!AR108</f>
        <v>0</v>
      </c>
      <c r="AS107">
        <f>[1]TDSheet!AS108</f>
        <v>0</v>
      </c>
      <c r="AT107">
        <f>[1]TDSheet!AT108</f>
        <v>0</v>
      </c>
      <c r="AU107">
        <f>[1]TDSheet!AU108</f>
        <v>0</v>
      </c>
      <c r="AV107">
        <f>[1]TDSheet!AV108</f>
        <v>0</v>
      </c>
      <c r="AW107">
        <f>[1]TDSheet!AW108</f>
        <v>0</v>
      </c>
      <c r="AX107">
        <f>[1]TDSheet!AX108</f>
        <v>0</v>
      </c>
      <c r="AY107">
        <f>[1]TDSheet!AY108</f>
        <v>0</v>
      </c>
      <c r="AZ107">
        <f>[1]TDSheet!AZ108</f>
        <v>0</v>
      </c>
      <c r="BA107">
        <f>[1]TDSheet!BA108</f>
        <v>0</v>
      </c>
      <c r="BB107">
        <f>[1]TDSheet!BB108</f>
        <v>0</v>
      </c>
      <c r="BC107">
        <f>[1]TDSheet!BC108</f>
        <v>0</v>
      </c>
      <c r="BD107">
        <f>[1]TDSheet!BD108</f>
        <v>0</v>
      </c>
      <c r="BE107">
        <f>[1]TDSheet!BE108</f>
        <v>0</v>
      </c>
    </row>
    <row r="108" spans="1:57" x14ac:dyDescent="0.25">
      <c r="A108" t="str">
        <f>[1]TDSheet!A109</f>
        <v xml:space="preserve">Шохруки Хикматулло </v>
      </c>
      <c r="B108" t="str">
        <f>[1]TDSheet!B109</f>
        <v>Подсобный рабочий</v>
      </c>
      <c r="C108" t="str">
        <f>TEXT([1]TDSheet!C109,"ДД.ММ.ГГГГ")</f>
        <v>02.07.1997</v>
      </c>
      <c r="D108" t="str">
        <f>[1]TDSheet!D109</f>
        <v>ТАДЖИКИСТАН</v>
      </c>
      <c r="E108">
        <f>[1]TDSheet!E109</f>
        <v>0</v>
      </c>
      <c r="F108">
        <f>[1]TDSheet!F109</f>
        <v>0</v>
      </c>
      <c r="G108" t="str">
        <f>[1]TDSheet!G109</f>
        <v>Иностранный паспорт</v>
      </c>
      <c r="H108" t="str">
        <f>[1]TDSheet!H109</f>
        <v>Серия</v>
      </c>
      <c r="I108" t="str">
        <f>[1]TDSheet!I109</f>
        <v>TJK</v>
      </c>
      <c r="J108" t="str">
        <f>[1]TDSheet!J109</f>
        <v>Номер</v>
      </c>
      <c r="K108">
        <f>[1]TDSheet!K109</f>
        <v>403486922</v>
      </c>
      <c r="L108" t="str">
        <f>[1]TDSheet!L109</f>
        <v>Выдан</v>
      </c>
      <c r="M108" t="str">
        <f>TEXT([1]TDSheet!M109,"ДД.ММ.ГГГГ")</f>
        <v>20.08.2021</v>
      </c>
      <c r="N108" t="str">
        <f>[1]TDSheet!N109</f>
        <v>МВД г. Душанбе</v>
      </c>
      <c r="O108">
        <f>[1]TDSheet!O109</f>
        <v>0</v>
      </c>
      <c r="P108" t="str">
        <f>[1]TDSheet!P109</f>
        <v>Серия TJK Номер 403486922,Выдан 20.08.2021 МВД г. Душанбе</v>
      </c>
      <c r="Q108" t="str">
        <f>[1]TDSheet!Q109</f>
        <v>РОССИЯ, 107113, Москва г, ул Сокольнический Вал, д. 1Ж, стр. 4</v>
      </c>
      <c r="R108" t="str">
        <f>[1]TDSheet!R109</f>
        <v>РОССИЯ, 107113, Москва г, ул Сокольнический Вал, д. 1Ж, стр. 4</v>
      </c>
      <c r="S108" t="str">
        <f>[1]TDSheet!S109</f>
        <v xml:space="preserve">Патент: серия 77 №2105244294 от 18.10.2021  Отдел внешней трудовой миграции УВМ ГУ МВД </v>
      </c>
      <c r="T108">
        <f>[1]TDSheet!T109</f>
        <v>0</v>
      </c>
      <c r="U108">
        <f>[1]TDSheet!U109</f>
        <v>0</v>
      </c>
      <c r="V108">
        <f>[1]TDSheet!V109</f>
        <v>0</v>
      </c>
      <c r="W108">
        <f>[1]TDSheet!W109</f>
        <v>0</v>
      </c>
      <c r="X108">
        <f>[1]TDSheet!X109</f>
        <v>0</v>
      </c>
      <c r="Y108">
        <f>[1]TDSheet!Y109</f>
        <v>0</v>
      </c>
      <c r="Z108">
        <f>[1]TDSheet!Z109</f>
        <v>44705</v>
      </c>
      <c r="AA108" t="str">
        <f>[1]TDSheet!AA109</f>
        <v>24/05-66_2022</v>
      </c>
      <c r="AB108">
        <f>[1]TDSheet!AB109</f>
        <v>0</v>
      </c>
      <c r="AC108">
        <f>[1]TDSheet!AC109</f>
        <v>0</v>
      </c>
      <c r="AD108">
        <f>[1]TDSheet!AD109</f>
        <v>0</v>
      </c>
      <c r="AE108">
        <f>[1]TDSheet!AE109</f>
        <v>0</v>
      </c>
      <c r="AF108">
        <f>[1]TDSheet!AF109</f>
        <v>0</v>
      </c>
      <c r="AG108">
        <f>[1]TDSheet!AG109</f>
        <v>0</v>
      </c>
      <c r="AH108">
        <f>[1]TDSheet!AH109</f>
        <v>0</v>
      </c>
      <c r="AI108">
        <f>[1]TDSheet!AI109</f>
        <v>0</v>
      </c>
      <c r="AJ108">
        <f>[1]TDSheet!AJ109</f>
        <v>0</v>
      </c>
      <c r="AK108">
        <f>[1]TDSheet!AK109</f>
        <v>0</v>
      </c>
      <c r="AL108">
        <f>[1]TDSheet!AL109</f>
        <v>0</v>
      </c>
      <c r="AM108">
        <f>[1]TDSheet!AM109</f>
        <v>0</v>
      </c>
      <c r="AN108">
        <f>[1]TDSheet!AN109</f>
        <v>0</v>
      </c>
      <c r="AO108">
        <f>[1]TDSheet!AO109</f>
        <v>0</v>
      </c>
      <c r="AP108">
        <f>[1]TDSheet!AP109</f>
        <v>0</v>
      </c>
      <c r="AQ108">
        <f>[1]TDSheet!AQ109</f>
        <v>0</v>
      </c>
      <c r="AR108">
        <f>[1]TDSheet!AR109</f>
        <v>0</v>
      </c>
      <c r="AS108">
        <f>[1]TDSheet!AS109</f>
        <v>0</v>
      </c>
      <c r="AT108">
        <f>[1]TDSheet!AT109</f>
        <v>0</v>
      </c>
      <c r="AU108">
        <f>[1]TDSheet!AU109</f>
        <v>0</v>
      </c>
      <c r="AV108">
        <f>[1]TDSheet!AV109</f>
        <v>0</v>
      </c>
      <c r="AW108">
        <f>[1]TDSheet!AW109</f>
        <v>0</v>
      </c>
      <c r="AX108">
        <f>[1]TDSheet!AX109</f>
        <v>0</v>
      </c>
      <c r="AY108">
        <f>[1]TDSheet!AY109</f>
        <v>0</v>
      </c>
      <c r="AZ108">
        <f>[1]TDSheet!AZ109</f>
        <v>0</v>
      </c>
      <c r="BA108">
        <f>[1]TDSheet!BA109</f>
        <v>0</v>
      </c>
      <c r="BB108">
        <f>[1]TDSheet!BB109</f>
        <v>0</v>
      </c>
      <c r="BC108">
        <f>[1]TDSheet!BC109</f>
        <v>0</v>
      </c>
      <c r="BD108">
        <f>[1]TDSheet!BD109</f>
        <v>0</v>
      </c>
      <c r="BE108">
        <f>[1]TDSheet!BE109</f>
        <v>0</v>
      </c>
    </row>
    <row r="109" spans="1:57" x14ac:dyDescent="0.25">
      <c r="A109" t="str">
        <f>[1]TDSheet!A110</f>
        <v>Хасанов Парвиз Сайджафарович</v>
      </c>
      <c r="B109" t="str">
        <f>[1]TDSheet!B110</f>
        <v>Подсобный рабочий</v>
      </c>
      <c r="C109" t="str">
        <f>TEXT([1]TDSheet!C110,"ДД.ММ.ГГГГ")</f>
        <v>11.06.1988</v>
      </c>
      <c r="D109" t="str">
        <f>[1]TDSheet!D110</f>
        <v>ТАДЖИКИСТАН</v>
      </c>
      <c r="E109">
        <f>[1]TDSheet!E110</f>
        <v>0</v>
      </c>
      <c r="F109">
        <f>[1]TDSheet!F110</f>
        <v>0</v>
      </c>
      <c r="G109" t="str">
        <f>[1]TDSheet!G110</f>
        <v>Иностранный паспорт</v>
      </c>
      <c r="H109" t="str">
        <f>[1]TDSheet!H110</f>
        <v>Серия</v>
      </c>
      <c r="I109" t="str">
        <f>[1]TDSheet!I110</f>
        <v>TJK</v>
      </c>
      <c r="J109" t="str">
        <f>[1]TDSheet!J110</f>
        <v>Номер</v>
      </c>
      <c r="K109">
        <f>[1]TDSheet!K110</f>
        <v>401280423</v>
      </c>
      <c r="L109" t="str">
        <f>[1]TDSheet!L110</f>
        <v>Выдан</v>
      </c>
      <c r="M109" t="str">
        <f>TEXT([1]TDSheet!M110,"ДД.ММ.ГГГГ")</f>
        <v>13.12.2016</v>
      </c>
      <c r="N109" t="str">
        <f>[1]TDSheet!N110</f>
        <v>МВД Таджикистана</v>
      </c>
      <c r="O109">
        <f>[1]TDSheet!O110</f>
        <v>0</v>
      </c>
      <c r="P109" t="str">
        <f>[1]TDSheet!P110</f>
        <v>Серия TJK Номер 401280423,Выдан 13.12.2016 МВД Таджикистана</v>
      </c>
      <c r="Q109" t="str">
        <f>[1]TDSheet!Q110</f>
        <v>г. Москва Бутово ул. Брусилова д.41</v>
      </c>
      <c r="R109" t="str">
        <f>[1]TDSheet!R110</f>
        <v>г. Москва Бутово ул. Брусилова д.41</v>
      </c>
      <c r="S109" t="str">
        <f>[1]TDSheet!S110</f>
        <v xml:space="preserve">Патент: серия 77 №2200517431 от 10.02.2022  Отдел внешней трудовой миграции УВМ ГУ МВД </v>
      </c>
      <c r="T109">
        <f>[1]TDSheet!T110</f>
        <v>0</v>
      </c>
      <c r="U109">
        <f>[1]TDSheet!U110</f>
        <v>170</v>
      </c>
      <c r="V109">
        <f>[1]TDSheet!V110</f>
        <v>48</v>
      </c>
      <c r="W109">
        <f>[1]TDSheet!W110</f>
        <v>41</v>
      </c>
      <c r="X109">
        <f>[1]TDSheet!X110</f>
        <v>0</v>
      </c>
      <c r="Y109">
        <f>[1]TDSheet!Y110</f>
        <v>0</v>
      </c>
      <c r="Z109">
        <f>[1]TDSheet!Z110</f>
        <v>44706</v>
      </c>
      <c r="AA109" t="str">
        <f>[1]TDSheet!AA110</f>
        <v>25/05-67_2022</v>
      </c>
      <c r="AB109">
        <f>[1]TDSheet!AB110</f>
        <v>0</v>
      </c>
      <c r="AC109">
        <f>[1]TDSheet!AC110</f>
        <v>0</v>
      </c>
      <c r="AD109">
        <f>[1]TDSheet!AD110</f>
        <v>0</v>
      </c>
      <c r="AE109">
        <f>[1]TDSheet!AE110</f>
        <v>0</v>
      </c>
      <c r="AF109">
        <f>[1]TDSheet!AF110</f>
        <v>0</v>
      </c>
      <c r="AG109">
        <f>[1]TDSheet!AG110</f>
        <v>0</v>
      </c>
      <c r="AH109">
        <f>[1]TDSheet!AH110</f>
        <v>0</v>
      </c>
      <c r="AI109">
        <f>[1]TDSheet!AI110</f>
        <v>0</v>
      </c>
      <c r="AJ109">
        <f>[1]TDSheet!AJ110</f>
        <v>0</v>
      </c>
      <c r="AK109">
        <f>[1]TDSheet!AK110</f>
        <v>0</v>
      </c>
      <c r="AL109">
        <f>[1]TDSheet!AL110</f>
        <v>0</v>
      </c>
      <c r="AM109">
        <f>[1]TDSheet!AM110</f>
        <v>0</v>
      </c>
      <c r="AN109">
        <f>[1]TDSheet!AN110</f>
        <v>0</v>
      </c>
      <c r="AO109">
        <f>[1]TDSheet!AO110</f>
        <v>0</v>
      </c>
      <c r="AP109">
        <f>[1]TDSheet!AP110</f>
        <v>0</v>
      </c>
      <c r="AQ109">
        <f>[1]TDSheet!AQ110</f>
        <v>0</v>
      </c>
      <c r="AR109">
        <f>[1]TDSheet!AR110</f>
        <v>0</v>
      </c>
      <c r="AS109">
        <f>[1]TDSheet!AS110</f>
        <v>0</v>
      </c>
      <c r="AT109">
        <f>[1]TDSheet!AT110</f>
        <v>0</v>
      </c>
      <c r="AU109">
        <f>[1]TDSheet!AU110</f>
        <v>0</v>
      </c>
      <c r="AV109">
        <f>[1]TDSheet!AV110</f>
        <v>0</v>
      </c>
      <c r="AW109">
        <f>[1]TDSheet!AW110</f>
        <v>0</v>
      </c>
      <c r="AX109">
        <f>[1]TDSheet!AX110</f>
        <v>0</v>
      </c>
      <c r="AY109">
        <f>[1]TDSheet!AY110</f>
        <v>0</v>
      </c>
      <c r="AZ109">
        <f>[1]TDSheet!AZ110</f>
        <v>0</v>
      </c>
      <c r="BA109">
        <f>[1]TDSheet!BA110</f>
        <v>0</v>
      </c>
      <c r="BB109">
        <f>[1]TDSheet!BB110</f>
        <v>0</v>
      </c>
      <c r="BC109">
        <f>[1]TDSheet!BC110</f>
        <v>0</v>
      </c>
      <c r="BD109">
        <f>[1]TDSheet!BD110</f>
        <v>0</v>
      </c>
      <c r="BE109">
        <f>[1]TDSheet!BE110</f>
        <v>0</v>
      </c>
    </row>
    <row r="110" spans="1:57" x14ac:dyDescent="0.25">
      <c r="A110" t="str">
        <f>[1]TDSheet!A111</f>
        <v>Усмонзода Фирдавсии Мехрубон</v>
      </c>
      <c r="B110" t="str">
        <f>[1]TDSheet!B111</f>
        <v>Подсобный рабочий</v>
      </c>
      <c r="C110" t="str">
        <f>TEXT([1]TDSheet!C111,"ДД.ММ.ГГГГ")</f>
        <v>00.01.1900</v>
      </c>
      <c r="D110">
        <f>[1]TDSheet!D111</f>
        <v>0</v>
      </c>
      <c r="E110">
        <f>[1]TDSheet!E111</f>
        <v>0</v>
      </c>
      <c r="F110">
        <f>[1]TDSheet!F111</f>
        <v>0</v>
      </c>
      <c r="G110">
        <f>[1]TDSheet!G111</f>
        <v>0</v>
      </c>
      <c r="H110" t="str">
        <f>[1]TDSheet!H111</f>
        <v>Серия</v>
      </c>
      <c r="I110">
        <f>[1]TDSheet!I111</f>
        <v>0</v>
      </c>
      <c r="J110" t="str">
        <f>[1]TDSheet!J111</f>
        <v>Номер</v>
      </c>
      <c r="K110">
        <f>[1]TDSheet!K111</f>
        <v>0</v>
      </c>
      <c r="L110" t="str">
        <f>[1]TDSheet!L111</f>
        <v>Выдан</v>
      </c>
      <c r="M110" t="str">
        <f>TEXT([1]TDSheet!M111,"ДД.ММ.ГГГГ")</f>
        <v>00.01.1900</v>
      </c>
      <c r="N110">
        <f>[1]TDSheet!N111</f>
        <v>0</v>
      </c>
      <c r="O110">
        <f>[1]TDSheet!O111</f>
        <v>0</v>
      </c>
      <c r="P110" t="str">
        <f>[1]TDSheet!P111</f>
        <v xml:space="preserve">Серия  Номер ,Выдан 00.01.1900 </v>
      </c>
      <c r="Q110">
        <f>[1]TDSheet!Q111</f>
        <v>0</v>
      </c>
      <c r="R110">
        <f>[1]TDSheet!R111</f>
        <v>0</v>
      </c>
      <c r="S110">
        <f>[1]TDSheet!S111</f>
        <v>0</v>
      </c>
      <c r="T110">
        <f>[1]TDSheet!T111</f>
        <v>0</v>
      </c>
      <c r="U110">
        <f>[1]TDSheet!U111</f>
        <v>170</v>
      </c>
      <c r="V110">
        <f>[1]TDSheet!V111</f>
        <v>48</v>
      </c>
      <c r="W110">
        <f>[1]TDSheet!W111</f>
        <v>39</v>
      </c>
      <c r="X110">
        <f>[1]TDSheet!X111</f>
        <v>0</v>
      </c>
      <c r="Y110">
        <f>[1]TDSheet!Y111</f>
        <v>0</v>
      </c>
      <c r="Z110">
        <f>[1]TDSheet!Z111</f>
        <v>0</v>
      </c>
      <c r="AA110">
        <f>[1]TDSheet!AA111</f>
        <v>0</v>
      </c>
      <c r="AB110">
        <f>[1]TDSheet!AB111</f>
        <v>0</v>
      </c>
      <c r="AC110">
        <f>[1]TDSheet!AC111</f>
        <v>0</v>
      </c>
      <c r="AD110">
        <f>[1]TDSheet!AD111</f>
        <v>0</v>
      </c>
      <c r="AE110">
        <f>[1]TDSheet!AE111</f>
        <v>0</v>
      </c>
      <c r="AF110">
        <f>[1]TDSheet!AF111</f>
        <v>0</v>
      </c>
      <c r="AG110">
        <f>[1]TDSheet!AG111</f>
        <v>0</v>
      </c>
      <c r="AH110">
        <f>[1]TDSheet!AH111</f>
        <v>0</v>
      </c>
      <c r="AI110">
        <f>[1]TDSheet!AI111</f>
        <v>0</v>
      </c>
      <c r="AJ110">
        <f>[1]TDSheet!AJ111</f>
        <v>0</v>
      </c>
      <c r="AK110">
        <f>[1]TDSheet!AK111</f>
        <v>0</v>
      </c>
      <c r="AL110">
        <f>[1]TDSheet!AL111</f>
        <v>0</v>
      </c>
      <c r="AM110">
        <f>[1]TDSheet!AM111</f>
        <v>0</v>
      </c>
      <c r="AN110">
        <f>[1]TDSheet!AN111</f>
        <v>0</v>
      </c>
      <c r="AO110">
        <f>[1]TDSheet!AO111</f>
        <v>0</v>
      </c>
      <c r="AP110">
        <f>[1]TDSheet!AP111</f>
        <v>0</v>
      </c>
      <c r="AQ110">
        <f>[1]TDSheet!AQ111</f>
        <v>0</v>
      </c>
      <c r="AR110">
        <f>[1]TDSheet!AR111</f>
        <v>0</v>
      </c>
      <c r="AS110">
        <f>[1]TDSheet!AS111</f>
        <v>0</v>
      </c>
      <c r="AT110">
        <f>[1]TDSheet!AT111</f>
        <v>0</v>
      </c>
      <c r="AU110">
        <f>[1]TDSheet!AU111</f>
        <v>0</v>
      </c>
      <c r="AV110">
        <f>[1]TDSheet!AV111</f>
        <v>0</v>
      </c>
      <c r="AW110">
        <f>[1]TDSheet!AW111</f>
        <v>0</v>
      </c>
      <c r="AX110">
        <f>[1]TDSheet!AX111</f>
        <v>0</v>
      </c>
      <c r="AY110">
        <f>[1]TDSheet!AY111</f>
        <v>0</v>
      </c>
      <c r="AZ110">
        <f>[1]TDSheet!AZ111</f>
        <v>0</v>
      </c>
      <c r="BA110">
        <f>[1]TDSheet!BA111</f>
        <v>0</v>
      </c>
      <c r="BB110">
        <f>[1]TDSheet!BB111</f>
        <v>0</v>
      </c>
      <c r="BC110" t="str">
        <f>[1]TDSheet!BC111</f>
        <v>40820810755860900000</v>
      </c>
      <c r="BD110" t="str">
        <f>[1]TDSheet!BD111</f>
        <v>ПАО СБЕРБАНК</v>
      </c>
      <c r="BE110" t="str">
        <f>[1]TDSheet!BE111</f>
        <v>044030653</v>
      </c>
    </row>
    <row r="111" spans="1:57" x14ac:dyDescent="0.25">
      <c r="A111" t="str">
        <f>[1]TDSheet!A112</f>
        <v>Крюков Виталий Андреевич</v>
      </c>
      <c r="B111" t="str">
        <f>[1]TDSheet!B112</f>
        <v>Кровельщик</v>
      </c>
      <c r="C111" t="str">
        <f>TEXT([1]TDSheet!C112,"ДД.ММ.ГГГГ")</f>
        <v>02.01.1992</v>
      </c>
      <c r="D111" t="str">
        <f>[1]TDSheet!D112</f>
        <v>РОССИЯ</v>
      </c>
      <c r="E111">
        <f>[1]TDSheet!E112</f>
        <v>0</v>
      </c>
      <c r="F111">
        <f>[1]TDSheet!F112</f>
        <v>0</v>
      </c>
      <c r="G111" t="str">
        <f>[1]TDSheet!G112</f>
        <v>Паспорт гражданина РФ</v>
      </c>
      <c r="H111" t="str">
        <f>[1]TDSheet!H112</f>
        <v>Серия</v>
      </c>
      <c r="I111">
        <f>[1]TDSheet!I112</f>
        <v>4617</v>
      </c>
      <c r="J111" t="str">
        <f>[1]TDSheet!J112</f>
        <v>Номер</v>
      </c>
      <c r="K111">
        <f>[1]TDSheet!K112</f>
        <v>767999</v>
      </c>
      <c r="L111" t="str">
        <f>[1]TDSheet!L112</f>
        <v>Выдан</v>
      </c>
      <c r="M111" t="str">
        <f>TEXT([1]TDSheet!M112,"ДД.ММ.ГГГГ")</f>
        <v>24.11.2017</v>
      </c>
      <c r="N111" t="str">
        <f>[1]TDSheet!N112</f>
        <v>ТИ №3 межрайонного ОУФМС России по Московской области в городском поселении Одинцово</v>
      </c>
      <c r="O111">
        <f>[1]TDSheet!O112</f>
        <v>0</v>
      </c>
      <c r="P111" t="str">
        <f>[1]TDSheet!P112</f>
        <v>Серия 4617 Номер 767999,Выдан 24.11.2017 ТИ №3 межрайонного ОУФМС России по Московской области в городском поселении Одинцово</v>
      </c>
      <c r="Q111" t="str">
        <f>[1]TDSheet!Q112</f>
        <v>Московская обл. г.Одинцово ул. Сколковская, д.7а кв.307</v>
      </c>
      <c r="R111" t="str">
        <f>[1]TDSheet!R112</f>
        <v>Московская обл. г.Одинцово ул. Сколковская, д.7а кв.308</v>
      </c>
      <c r="S111">
        <f>[1]TDSheet!S112</f>
        <v>0</v>
      </c>
      <c r="T111">
        <f>[1]TDSheet!T112</f>
        <v>0</v>
      </c>
      <c r="U111">
        <f>[1]TDSheet!U112</f>
        <v>189</v>
      </c>
      <c r="V111">
        <f>[1]TDSheet!V112</f>
        <v>54</v>
      </c>
      <c r="W111">
        <f>[1]TDSheet!W112</f>
        <v>43</v>
      </c>
      <c r="X111">
        <f>[1]TDSheet!X112</f>
        <v>0</v>
      </c>
      <c r="Y111">
        <f>[1]TDSheet!Y112</f>
        <v>0</v>
      </c>
      <c r="Z111">
        <f>[1]TDSheet!Z112</f>
        <v>44711</v>
      </c>
      <c r="AA111" t="str">
        <f>[1]TDSheet!AA112</f>
        <v>30/05-68_2022</v>
      </c>
      <c r="AB111">
        <f>[1]TDSheet!AB112</f>
        <v>0</v>
      </c>
      <c r="AC111">
        <f>[1]TDSheet!AC112</f>
        <v>0</v>
      </c>
      <c r="AD111">
        <f>[1]TDSheet!AD112</f>
        <v>0</v>
      </c>
      <c r="AE111">
        <f>[1]TDSheet!AE112</f>
        <v>0</v>
      </c>
      <c r="AF111">
        <f>[1]TDSheet!AF112</f>
        <v>0</v>
      </c>
      <c r="AG111">
        <f>[1]TDSheet!AG112</f>
        <v>0</v>
      </c>
      <c r="AH111">
        <f>[1]TDSheet!AH112</f>
        <v>0</v>
      </c>
      <c r="AI111">
        <f>[1]TDSheet!AI112</f>
        <v>0</v>
      </c>
      <c r="AJ111">
        <f>[1]TDSheet!AJ112</f>
        <v>0</v>
      </c>
      <c r="AK111">
        <f>[1]TDSheet!AK112</f>
        <v>0</v>
      </c>
      <c r="AL111">
        <f>[1]TDSheet!AL112</f>
        <v>0</v>
      </c>
      <c r="AM111">
        <f>[1]TDSheet!AM112</f>
        <v>0</v>
      </c>
      <c r="AN111">
        <f>[1]TDSheet!AN112</f>
        <v>0</v>
      </c>
      <c r="AO111">
        <f>[1]TDSheet!AO112</f>
        <v>0</v>
      </c>
      <c r="AP111">
        <f>[1]TDSheet!AP112</f>
        <v>0</v>
      </c>
      <c r="AQ111">
        <f>[1]TDSheet!AQ112</f>
        <v>0</v>
      </c>
      <c r="AR111">
        <f>[1]TDSheet!AR112</f>
        <v>0</v>
      </c>
      <c r="AS111">
        <f>[1]TDSheet!AS112</f>
        <v>0</v>
      </c>
      <c r="AT111">
        <f>[1]TDSheet!AT112</f>
        <v>0</v>
      </c>
      <c r="AU111">
        <f>[1]TDSheet!AU112</f>
        <v>0</v>
      </c>
      <c r="AV111">
        <f>[1]TDSheet!AV112</f>
        <v>0</v>
      </c>
      <c r="AW111">
        <f>[1]TDSheet!AW112</f>
        <v>0</v>
      </c>
      <c r="AX111">
        <f>[1]TDSheet!AX112</f>
        <v>0</v>
      </c>
      <c r="AY111">
        <f>[1]TDSheet!AY112</f>
        <v>0</v>
      </c>
      <c r="AZ111">
        <f>[1]TDSheet!AZ112</f>
        <v>0</v>
      </c>
      <c r="BA111">
        <f>[1]TDSheet!BA112</f>
        <v>0</v>
      </c>
      <c r="BB111">
        <f>[1]TDSheet!BB112</f>
        <v>0</v>
      </c>
      <c r="BC111">
        <f>[1]TDSheet!BC112</f>
        <v>0</v>
      </c>
      <c r="BD111">
        <f>[1]TDSheet!BD112</f>
        <v>0</v>
      </c>
      <c r="BE111">
        <f>[1]TDSheet!BE112</f>
        <v>0</v>
      </c>
    </row>
    <row r="112" spans="1:57" x14ac:dyDescent="0.25">
      <c r="A112" t="str">
        <f>[1]TDSheet!A113</f>
        <v>Горулев Сергей Александрович</v>
      </c>
      <c r="B112" t="str">
        <f>[1]TDSheet!B113</f>
        <v>Кровельщик</v>
      </c>
      <c r="C112" t="str">
        <f>TEXT([1]TDSheet!C113,"ДД.ММ.ГГГГ")</f>
        <v>18.04.1993</v>
      </c>
      <c r="D112" t="str">
        <f>[1]TDSheet!D113</f>
        <v>БЕЛАРУСЬ</v>
      </c>
      <c r="E112">
        <f>[1]TDSheet!E113</f>
        <v>0</v>
      </c>
      <c r="F112">
        <f>[1]TDSheet!F113</f>
        <v>0</v>
      </c>
      <c r="G112" t="str">
        <f>[1]TDSheet!G113</f>
        <v>Иностранный паспорт</v>
      </c>
      <c r="H112" t="str">
        <f>[1]TDSheet!H113</f>
        <v>Серия</v>
      </c>
      <c r="I112" t="str">
        <f>[1]TDSheet!I113</f>
        <v>КВ</v>
      </c>
      <c r="J112" t="str">
        <f>[1]TDSheet!J113</f>
        <v>Номер</v>
      </c>
      <c r="K112">
        <f>[1]TDSheet!K113</f>
        <v>2333651</v>
      </c>
      <c r="L112" t="str">
        <f>[1]TDSheet!L113</f>
        <v>Выдан</v>
      </c>
      <c r="M112" t="str">
        <f>TEXT([1]TDSheet!M113,"ДД.ММ.ГГГГ")</f>
        <v>11.05.2018</v>
      </c>
      <c r="N112" t="str">
        <f>[1]TDSheet!N113</f>
        <v>Чаусский РОВД Могилевской области</v>
      </c>
      <c r="O112">
        <f>[1]TDSheet!O113</f>
        <v>0</v>
      </c>
      <c r="P112" t="str">
        <f>[1]TDSheet!P113</f>
        <v>Серия КВ Номер 2333651,Выдан 11.05.2018 Чаусский РОВД Могилевской области</v>
      </c>
      <c r="Q112" t="str">
        <f>[1]TDSheet!Q113</f>
        <v>г. МОСКВА УЛ. Маршала Василевского дом 13 к.1 кв 28</v>
      </c>
      <c r="R112" t="str">
        <f>[1]TDSheet!R113</f>
        <v>г. МОСКВА УЛ. Маршала Василевского дом 13 к.1 кв 29</v>
      </c>
      <c r="S112">
        <f>[1]TDSheet!S113</f>
        <v>0</v>
      </c>
      <c r="T112">
        <f>[1]TDSheet!T113</f>
        <v>0</v>
      </c>
      <c r="U112">
        <f>[1]TDSheet!U113</f>
        <v>180</v>
      </c>
      <c r="V112">
        <f>[1]TDSheet!V113</f>
        <v>52</v>
      </c>
      <c r="W112">
        <f>[1]TDSheet!W113</f>
        <v>44</v>
      </c>
      <c r="X112">
        <f>[1]TDSheet!X113</f>
        <v>0</v>
      </c>
      <c r="Y112">
        <f>[1]TDSheet!Y113</f>
        <v>0</v>
      </c>
      <c r="Z112">
        <f>[1]TDSheet!Z113</f>
        <v>44712</v>
      </c>
      <c r="AA112" t="str">
        <f>[1]TDSheet!AA113</f>
        <v>31/05-69_2022</v>
      </c>
      <c r="AB112">
        <f>[1]TDSheet!AB113</f>
        <v>0</v>
      </c>
      <c r="AC112">
        <f>[1]TDSheet!AC113</f>
        <v>0</v>
      </c>
      <c r="AD112">
        <f>[1]TDSheet!AD113</f>
        <v>0</v>
      </c>
      <c r="AE112">
        <f>[1]TDSheet!AE113</f>
        <v>0</v>
      </c>
      <c r="AF112">
        <f>[1]TDSheet!AF113</f>
        <v>0</v>
      </c>
      <c r="AG112">
        <f>[1]TDSheet!AG113</f>
        <v>0</v>
      </c>
      <c r="AH112">
        <f>[1]TDSheet!AH113</f>
        <v>0</v>
      </c>
      <c r="AI112">
        <f>[1]TDSheet!AI113</f>
        <v>0</v>
      </c>
      <c r="AJ112">
        <f>[1]TDSheet!AJ113</f>
        <v>0</v>
      </c>
      <c r="AK112">
        <f>[1]TDSheet!AK113</f>
        <v>0</v>
      </c>
      <c r="AL112">
        <f>[1]TDSheet!AL113</f>
        <v>0</v>
      </c>
      <c r="AM112">
        <f>[1]TDSheet!AM113</f>
        <v>0</v>
      </c>
      <c r="AN112">
        <f>[1]TDSheet!AN113</f>
        <v>0</v>
      </c>
      <c r="AO112">
        <f>[1]TDSheet!AO113</f>
        <v>0</v>
      </c>
      <c r="AP112">
        <f>[1]TDSheet!AP113</f>
        <v>0</v>
      </c>
      <c r="AQ112">
        <f>[1]TDSheet!AQ113</f>
        <v>0</v>
      </c>
      <c r="AR112">
        <f>[1]TDSheet!AR113</f>
        <v>0</v>
      </c>
      <c r="AS112">
        <f>[1]TDSheet!AS113</f>
        <v>0</v>
      </c>
      <c r="AT112">
        <f>[1]TDSheet!AT113</f>
        <v>0</v>
      </c>
      <c r="AU112">
        <f>[1]TDSheet!AU113</f>
        <v>0</v>
      </c>
      <c r="AV112">
        <f>[1]TDSheet!AV113</f>
        <v>0</v>
      </c>
      <c r="AW112">
        <f>[1]TDSheet!AW113</f>
        <v>0</v>
      </c>
      <c r="AX112">
        <f>[1]TDSheet!AX113</f>
        <v>0</v>
      </c>
      <c r="AY112">
        <f>[1]TDSheet!AY113</f>
        <v>0</v>
      </c>
      <c r="AZ112">
        <f>[1]TDSheet!AZ113</f>
        <v>0</v>
      </c>
      <c r="BA112">
        <f>[1]TDSheet!BA113</f>
        <v>89663806944</v>
      </c>
      <c r="BB112">
        <f>[1]TDSheet!BB113</f>
        <v>0</v>
      </c>
      <c r="BC112">
        <f>[1]TDSheet!BC113</f>
        <v>0</v>
      </c>
      <c r="BD112">
        <f>[1]TDSheet!BD113</f>
        <v>0</v>
      </c>
      <c r="BE112">
        <f>[1]TDSheet!BE113</f>
        <v>0</v>
      </c>
    </row>
    <row r="113" spans="1:57" x14ac:dyDescent="0.25">
      <c r="A113">
        <f>[1]TDSheet!A114</f>
        <v>0</v>
      </c>
      <c r="B113">
        <f>[1]TDSheet!B114</f>
        <v>0</v>
      </c>
      <c r="C113" t="str">
        <f>TEXT([1]TDSheet!C114,"ДД.ММ.ГГГГ")</f>
        <v>00.01.1900</v>
      </c>
      <c r="D113">
        <f>[1]TDSheet!D114</f>
        <v>0</v>
      </c>
      <c r="E113">
        <f>[1]TDSheet!E114</f>
        <v>0</v>
      </c>
      <c r="F113">
        <f>[1]TDSheet!F114</f>
        <v>0</v>
      </c>
      <c r="G113">
        <f>[1]TDSheet!G114</f>
        <v>0</v>
      </c>
      <c r="H113" t="str">
        <f>[1]TDSheet!H114</f>
        <v>Серия</v>
      </c>
      <c r="I113">
        <f>[1]TDSheet!I114</f>
        <v>0</v>
      </c>
      <c r="J113" t="str">
        <f>[1]TDSheet!J114</f>
        <v>Номер</v>
      </c>
      <c r="K113">
        <f>[1]TDSheet!K114</f>
        <v>0</v>
      </c>
      <c r="L113" t="str">
        <f>[1]TDSheet!L114</f>
        <v>Выдан</v>
      </c>
      <c r="M113" t="str">
        <f>TEXT([1]TDSheet!M114,"ДД.ММ.ГГГГ")</f>
        <v>00.01.1900</v>
      </c>
      <c r="N113">
        <f>[1]TDSheet!N114</f>
        <v>0</v>
      </c>
      <c r="O113">
        <f>[1]TDSheet!O114</f>
        <v>0</v>
      </c>
      <c r="P113" t="str">
        <f>[1]TDSheet!P114</f>
        <v xml:space="preserve">Серия  Номер ,Выдан 00.01.1900 </v>
      </c>
      <c r="Q113">
        <f>[1]TDSheet!Q114</f>
        <v>0</v>
      </c>
      <c r="R113">
        <f>[1]TDSheet!R114</f>
        <v>0</v>
      </c>
      <c r="S113">
        <f>[1]TDSheet!S114</f>
        <v>0</v>
      </c>
      <c r="T113">
        <f>[1]TDSheet!T114</f>
        <v>0</v>
      </c>
      <c r="U113">
        <f>[1]TDSheet!U114</f>
        <v>0</v>
      </c>
      <c r="V113">
        <f>[1]TDSheet!V114</f>
        <v>0</v>
      </c>
      <c r="W113">
        <f>[1]TDSheet!W114</f>
        <v>0</v>
      </c>
      <c r="X113">
        <f>[1]TDSheet!X114</f>
        <v>0</v>
      </c>
      <c r="Y113">
        <f>[1]TDSheet!Y114</f>
        <v>0</v>
      </c>
      <c r="Z113">
        <f>[1]TDSheet!Z114</f>
        <v>0</v>
      </c>
      <c r="AA113">
        <f>[1]TDSheet!AA114</f>
        <v>0</v>
      </c>
      <c r="AB113">
        <f>[1]TDSheet!AB114</f>
        <v>0</v>
      </c>
      <c r="AC113">
        <f>[1]TDSheet!AC114</f>
        <v>0</v>
      </c>
      <c r="AD113">
        <f>[1]TDSheet!AD114</f>
        <v>0</v>
      </c>
      <c r="AE113">
        <f>[1]TDSheet!AE114</f>
        <v>0</v>
      </c>
      <c r="AF113">
        <f>[1]TDSheet!AF114</f>
        <v>0</v>
      </c>
      <c r="AG113">
        <f>[1]TDSheet!AG114</f>
        <v>0</v>
      </c>
      <c r="AH113">
        <f>[1]TDSheet!AH114</f>
        <v>0</v>
      </c>
      <c r="AI113">
        <f>[1]TDSheet!AI114</f>
        <v>0</v>
      </c>
      <c r="AJ113">
        <f>[1]TDSheet!AJ114</f>
        <v>0</v>
      </c>
      <c r="AK113">
        <f>[1]TDSheet!AK114</f>
        <v>0</v>
      </c>
      <c r="AL113">
        <f>[1]TDSheet!AL114</f>
        <v>0</v>
      </c>
      <c r="AM113">
        <f>[1]TDSheet!AM114</f>
        <v>0</v>
      </c>
      <c r="AN113">
        <f>[1]TDSheet!AN114</f>
        <v>0</v>
      </c>
      <c r="AO113">
        <f>[1]TDSheet!AO114</f>
        <v>0</v>
      </c>
      <c r="AP113">
        <f>[1]TDSheet!AP114</f>
        <v>0</v>
      </c>
      <c r="AQ113">
        <f>[1]TDSheet!AQ114</f>
        <v>0</v>
      </c>
      <c r="AR113">
        <f>[1]TDSheet!AR114</f>
        <v>0</v>
      </c>
      <c r="AS113">
        <f>[1]TDSheet!AS114</f>
        <v>0</v>
      </c>
      <c r="AT113">
        <f>[1]TDSheet!AT114</f>
        <v>0</v>
      </c>
      <c r="AU113">
        <f>[1]TDSheet!AU114</f>
        <v>0</v>
      </c>
      <c r="AV113">
        <f>[1]TDSheet!AV114</f>
        <v>0</v>
      </c>
      <c r="AW113">
        <f>[1]TDSheet!AW114</f>
        <v>0</v>
      </c>
      <c r="AX113">
        <f>[1]TDSheet!AX114</f>
        <v>0</v>
      </c>
      <c r="AY113">
        <f>[1]TDSheet!AY114</f>
        <v>0</v>
      </c>
      <c r="AZ113">
        <f>[1]TDSheet!AZ114</f>
        <v>0</v>
      </c>
      <c r="BA113">
        <f>[1]TDSheet!BA114</f>
        <v>0</v>
      </c>
      <c r="BB113">
        <f>[1]TDSheet!BB114</f>
        <v>0</v>
      </c>
      <c r="BC113">
        <f>[1]TDSheet!BC114</f>
        <v>0</v>
      </c>
      <c r="BD113">
        <f>[1]TDSheet!BD114</f>
        <v>0</v>
      </c>
      <c r="BE113">
        <f>[1]TDSheet!BE114</f>
        <v>0</v>
      </c>
    </row>
    <row r="114" spans="1:57" x14ac:dyDescent="0.25">
      <c r="A114">
        <f>[1]TDSheet!A115</f>
        <v>0</v>
      </c>
      <c r="B114">
        <f>[1]TDSheet!B115</f>
        <v>0</v>
      </c>
      <c r="C114" t="str">
        <f>TEXT([1]TDSheet!C115,"ДД.ММ.ГГГГ")</f>
        <v>00.01.1900</v>
      </c>
      <c r="D114">
        <f>[1]TDSheet!D115</f>
        <v>0</v>
      </c>
      <c r="E114">
        <f>[1]TDSheet!E115</f>
        <v>0</v>
      </c>
      <c r="F114">
        <f>[1]TDSheet!F115</f>
        <v>0</v>
      </c>
      <c r="G114">
        <f>[1]TDSheet!G115</f>
        <v>0</v>
      </c>
      <c r="H114" t="str">
        <f>[1]TDSheet!H115</f>
        <v>Серия</v>
      </c>
      <c r="I114">
        <f>[1]TDSheet!I115</f>
        <v>0</v>
      </c>
      <c r="J114" t="str">
        <f>[1]TDSheet!J115</f>
        <v>Номер</v>
      </c>
      <c r="K114">
        <f>[1]TDSheet!K115</f>
        <v>0</v>
      </c>
      <c r="L114" t="str">
        <f>[1]TDSheet!L115</f>
        <v>Выдан</v>
      </c>
      <c r="M114" t="str">
        <f>TEXT([1]TDSheet!M115,"ДД.ММ.ГГГГ")</f>
        <v>00.01.1900</v>
      </c>
      <c r="N114">
        <f>[1]TDSheet!N115</f>
        <v>0</v>
      </c>
      <c r="O114">
        <f>[1]TDSheet!O115</f>
        <v>0</v>
      </c>
      <c r="P114" t="str">
        <f>[1]TDSheet!P115</f>
        <v xml:space="preserve">Серия  Номер ,Выдан 00.01.1900 </v>
      </c>
      <c r="Q114">
        <f>[1]TDSheet!Q115</f>
        <v>0</v>
      </c>
      <c r="R114">
        <f>[1]TDSheet!R115</f>
        <v>0</v>
      </c>
      <c r="S114">
        <f>[1]TDSheet!S115</f>
        <v>0</v>
      </c>
      <c r="T114">
        <f>[1]TDSheet!T115</f>
        <v>0</v>
      </c>
      <c r="U114">
        <f>[1]TDSheet!U115</f>
        <v>0</v>
      </c>
      <c r="V114">
        <f>[1]TDSheet!V115</f>
        <v>0</v>
      </c>
      <c r="W114">
        <f>[1]TDSheet!W115</f>
        <v>0</v>
      </c>
      <c r="X114">
        <f>[1]TDSheet!X115</f>
        <v>0</v>
      </c>
      <c r="Y114">
        <f>[1]TDSheet!Y115</f>
        <v>0</v>
      </c>
      <c r="Z114">
        <f>[1]TDSheet!Z115</f>
        <v>0</v>
      </c>
      <c r="AA114">
        <f>[1]TDSheet!AA115</f>
        <v>0</v>
      </c>
      <c r="AB114">
        <f>[1]TDSheet!AB115</f>
        <v>0</v>
      </c>
      <c r="AC114">
        <f>[1]TDSheet!AC115</f>
        <v>0</v>
      </c>
      <c r="AD114">
        <f>[1]TDSheet!AD115</f>
        <v>0</v>
      </c>
      <c r="AE114">
        <f>[1]TDSheet!AE115</f>
        <v>0</v>
      </c>
      <c r="AF114">
        <f>[1]TDSheet!AF115</f>
        <v>0</v>
      </c>
      <c r="AG114">
        <f>[1]TDSheet!AG115</f>
        <v>0</v>
      </c>
      <c r="AH114">
        <f>[1]TDSheet!AH115</f>
        <v>0</v>
      </c>
      <c r="AI114">
        <f>[1]TDSheet!AI115</f>
        <v>0</v>
      </c>
      <c r="AJ114">
        <f>[1]TDSheet!AJ115</f>
        <v>0</v>
      </c>
      <c r="AK114">
        <f>[1]TDSheet!AK115</f>
        <v>0</v>
      </c>
      <c r="AL114">
        <f>[1]TDSheet!AL115</f>
        <v>0</v>
      </c>
      <c r="AM114">
        <f>[1]TDSheet!AM115</f>
        <v>0</v>
      </c>
      <c r="AN114">
        <f>[1]TDSheet!AN115</f>
        <v>0</v>
      </c>
      <c r="AO114">
        <f>[1]TDSheet!AO115</f>
        <v>0</v>
      </c>
      <c r="AP114">
        <f>[1]TDSheet!AP115</f>
        <v>0</v>
      </c>
      <c r="AQ114">
        <f>[1]TDSheet!AQ115</f>
        <v>0</v>
      </c>
      <c r="AR114">
        <f>[1]TDSheet!AR115</f>
        <v>0</v>
      </c>
      <c r="AS114">
        <f>[1]TDSheet!AS115</f>
        <v>0</v>
      </c>
      <c r="AT114">
        <f>[1]TDSheet!AT115</f>
        <v>0</v>
      </c>
      <c r="AU114">
        <f>[1]TDSheet!AU115</f>
        <v>0</v>
      </c>
      <c r="AV114">
        <f>[1]TDSheet!AV115</f>
        <v>0</v>
      </c>
      <c r="AW114">
        <f>[1]TDSheet!AW115</f>
        <v>0</v>
      </c>
      <c r="AX114">
        <f>[1]TDSheet!AX115</f>
        <v>0</v>
      </c>
      <c r="AY114">
        <f>[1]TDSheet!AY115</f>
        <v>0</v>
      </c>
      <c r="AZ114">
        <f>[1]TDSheet!AZ115</f>
        <v>0</v>
      </c>
      <c r="BA114">
        <f>[1]TDSheet!BA115</f>
        <v>0</v>
      </c>
      <c r="BB114">
        <f>[1]TDSheet!BB115</f>
        <v>0</v>
      </c>
      <c r="BC114">
        <f>[1]TDSheet!BC115</f>
        <v>0</v>
      </c>
      <c r="BD114">
        <f>[1]TDSheet!BD115</f>
        <v>0</v>
      </c>
      <c r="BE114">
        <f>[1]TDSheet!BE115</f>
        <v>0</v>
      </c>
    </row>
    <row r="115" spans="1:57" x14ac:dyDescent="0.25">
      <c r="A115">
        <f>[1]TDSheet!A116</f>
        <v>0</v>
      </c>
      <c r="B115">
        <f>[1]TDSheet!B116</f>
        <v>0</v>
      </c>
      <c r="C115" t="str">
        <f>TEXT([1]TDSheet!C116,"ДД.ММ.ГГГГ")</f>
        <v>00.01.1900</v>
      </c>
      <c r="D115">
        <f>[1]TDSheet!D116</f>
        <v>0</v>
      </c>
      <c r="E115">
        <f>[1]TDSheet!E116</f>
        <v>0</v>
      </c>
      <c r="F115">
        <f>[1]TDSheet!F116</f>
        <v>0</v>
      </c>
      <c r="G115">
        <f>[1]TDSheet!G116</f>
        <v>0</v>
      </c>
      <c r="H115" t="str">
        <f>[1]TDSheet!H116</f>
        <v>Серия</v>
      </c>
      <c r="I115">
        <f>[1]TDSheet!I116</f>
        <v>0</v>
      </c>
      <c r="J115" t="str">
        <f>[1]TDSheet!J116</f>
        <v>Номер</v>
      </c>
      <c r="K115">
        <f>[1]TDSheet!K116</f>
        <v>0</v>
      </c>
      <c r="L115" t="str">
        <f>[1]TDSheet!L116</f>
        <v>Выдан</v>
      </c>
      <c r="M115" t="str">
        <f>TEXT([1]TDSheet!M116,"ДД.ММ.ГГГГ")</f>
        <v>00.01.1900</v>
      </c>
      <c r="N115">
        <f>[1]TDSheet!N116</f>
        <v>0</v>
      </c>
      <c r="O115">
        <f>[1]TDSheet!O116</f>
        <v>0</v>
      </c>
      <c r="P115" t="str">
        <f>[1]TDSheet!P116</f>
        <v xml:space="preserve">Серия  Номер ,Выдан 00.01.1900 </v>
      </c>
      <c r="Q115">
        <f>[1]TDSheet!Q116</f>
        <v>0</v>
      </c>
      <c r="R115">
        <f>[1]TDSheet!R116</f>
        <v>0</v>
      </c>
      <c r="S115">
        <f>[1]TDSheet!S116</f>
        <v>0</v>
      </c>
      <c r="T115">
        <f>[1]TDSheet!T116</f>
        <v>0</v>
      </c>
      <c r="U115">
        <f>[1]TDSheet!U116</f>
        <v>0</v>
      </c>
      <c r="V115">
        <f>[1]TDSheet!V116</f>
        <v>0</v>
      </c>
      <c r="W115">
        <f>[1]TDSheet!W116</f>
        <v>0</v>
      </c>
      <c r="X115">
        <f>[1]TDSheet!X116</f>
        <v>0</v>
      </c>
      <c r="Y115">
        <f>[1]TDSheet!Y116</f>
        <v>0</v>
      </c>
      <c r="Z115">
        <f>[1]TDSheet!Z116</f>
        <v>0</v>
      </c>
      <c r="AA115">
        <f>[1]TDSheet!AA116</f>
        <v>0</v>
      </c>
      <c r="AB115">
        <f>[1]TDSheet!AB116</f>
        <v>0</v>
      </c>
      <c r="AC115">
        <f>[1]TDSheet!AC116</f>
        <v>0</v>
      </c>
      <c r="AD115">
        <f>[1]TDSheet!AD116</f>
        <v>0</v>
      </c>
      <c r="AE115">
        <f>[1]TDSheet!AE116</f>
        <v>0</v>
      </c>
      <c r="AF115">
        <f>[1]TDSheet!AF116</f>
        <v>0</v>
      </c>
      <c r="AG115">
        <f>[1]TDSheet!AG116</f>
        <v>0</v>
      </c>
      <c r="AH115">
        <f>[1]TDSheet!AH116</f>
        <v>0</v>
      </c>
      <c r="AI115">
        <f>[1]TDSheet!AI116</f>
        <v>0</v>
      </c>
      <c r="AJ115">
        <f>[1]TDSheet!AJ116</f>
        <v>0</v>
      </c>
      <c r="AK115">
        <f>[1]TDSheet!AK116</f>
        <v>0</v>
      </c>
      <c r="AL115">
        <f>[1]TDSheet!AL116</f>
        <v>0</v>
      </c>
      <c r="AM115">
        <f>[1]TDSheet!AM116</f>
        <v>0</v>
      </c>
      <c r="AN115">
        <f>[1]TDSheet!AN116</f>
        <v>0</v>
      </c>
      <c r="AO115">
        <f>[1]TDSheet!AO116</f>
        <v>0</v>
      </c>
      <c r="AP115">
        <f>[1]TDSheet!AP116</f>
        <v>0</v>
      </c>
      <c r="AQ115">
        <f>[1]TDSheet!AQ116</f>
        <v>0</v>
      </c>
      <c r="AR115">
        <f>[1]TDSheet!AR116</f>
        <v>0</v>
      </c>
      <c r="AS115">
        <f>[1]TDSheet!AS116</f>
        <v>0</v>
      </c>
      <c r="AT115">
        <f>[1]TDSheet!AT116</f>
        <v>0</v>
      </c>
      <c r="AU115">
        <f>[1]TDSheet!AU116</f>
        <v>0</v>
      </c>
      <c r="AV115">
        <f>[1]TDSheet!AV116</f>
        <v>0</v>
      </c>
      <c r="AW115">
        <f>[1]TDSheet!AW116</f>
        <v>0</v>
      </c>
      <c r="AX115">
        <f>[1]TDSheet!AX116</f>
        <v>0</v>
      </c>
      <c r="AY115">
        <f>[1]TDSheet!AY116</f>
        <v>0</v>
      </c>
      <c r="AZ115">
        <f>[1]TDSheet!AZ116</f>
        <v>0</v>
      </c>
      <c r="BA115">
        <f>[1]TDSheet!BA116</f>
        <v>0</v>
      </c>
      <c r="BB115">
        <f>[1]TDSheet!BB116</f>
        <v>0</v>
      </c>
      <c r="BC115">
        <f>[1]TDSheet!BC116</f>
        <v>0</v>
      </c>
      <c r="BD115">
        <f>[1]TDSheet!BD116</f>
        <v>0</v>
      </c>
      <c r="BE115">
        <f>[1]TDSheet!BE116</f>
        <v>0</v>
      </c>
    </row>
    <row r="116" spans="1:57" x14ac:dyDescent="0.25">
      <c r="A116">
        <f>[1]TDSheet!A117</f>
        <v>0</v>
      </c>
      <c r="B116">
        <f>[1]TDSheet!B117</f>
        <v>0</v>
      </c>
      <c r="C116" t="str">
        <f>TEXT([1]TDSheet!C117,"ДД.ММ.ГГГГ")</f>
        <v>00.01.1900</v>
      </c>
      <c r="D116">
        <f>[1]TDSheet!D117</f>
        <v>0</v>
      </c>
      <c r="E116">
        <f>[1]TDSheet!E117</f>
        <v>0</v>
      </c>
      <c r="F116">
        <f>[1]TDSheet!F117</f>
        <v>0</v>
      </c>
      <c r="G116">
        <f>[1]TDSheet!G117</f>
        <v>0</v>
      </c>
      <c r="H116">
        <f>[1]TDSheet!H117</f>
        <v>0</v>
      </c>
      <c r="I116">
        <f>[1]TDSheet!I117</f>
        <v>0</v>
      </c>
      <c r="J116" t="str">
        <f>[1]TDSheet!J117</f>
        <v>Номер</v>
      </c>
      <c r="K116">
        <f>[1]TDSheet!K117</f>
        <v>0</v>
      </c>
      <c r="L116" t="str">
        <f>[1]TDSheet!L117</f>
        <v>Выдан</v>
      </c>
      <c r="M116" t="str">
        <f>TEXT([1]TDSheet!M117,"ДД.ММ.ГГГГ")</f>
        <v>00.01.1900</v>
      </c>
      <c r="N116">
        <f>[1]TDSheet!N117</f>
        <v>0</v>
      </c>
      <c r="O116">
        <f>[1]TDSheet!O117</f>
        <v>0</v>
      </c>
      <c r="P116" t="str">
        <f>[1]TDSheet!P117</f>
        <v xml:space="preserve">  Номер ,Выдан 00.01.1900 </v>
      </c>
      <c r="Q116">
        <f>[1]TDSheet!Q117</f>
        <v>0</v>
      </c>
      <c r="R116">
        <f>[1]TDSheet!R117</f>
        <v>0</v>
      </c>
      <c r="S116">
        <f>[1]TDSheet!S117</f>
        <v>0</v>
      </c>
      <c r="T116">
        <f>[1]TDSheet!T117</f>
        <v>0</v>
      </c>
      <c r="U116">
        <f>[1]TDSheet!U117</f>
        <v>0</v>
      </c>
      <c r="V116">
        <f>[1]TDSheet!V117</f>
        <v>0</v>
      </c>
      <c r="W116">
        <f>[1]TDSheet!W117</f>
        <v>0</v>
      </c>
      <c r="X116">
        <f>[1]TDSheet!X117</f>
        <v>0</v>
      </c>
      <c r="Y116">
        <f>[1]TDSheet!Y117</f>
        <v>0</v>
      </c>
      <c r="Z116">
        <f>[1]TDSheet!Z117</f>
        <v>0</v>
      </c>
      <c r="AA116">
        <f>[1]TDSheet!AA117</f>
        <v>0</v>
      </c>
      <c r="AB116">
        <f>[1]TDSheet!AB117</f>
        <v>0</v>
      </c>
      <c r="AC116">
        <f>[1]TDSheet!AC117</f>
        <v>0</v>
      </c>
      <c r="AD116">
        <f>[1]TDSheet!AD117</f>
        <v>0</v>
      </c>
      <c r="AE116">
        <f>[1]TDSheet!AE117</f>
        <v>0</v>
      </c>
      <c r="AF116">
        <f>[1]TDSheet!AF117</f>
        <v>0</v>
      </c>
      <c r="AG116">
        <f>[1]TDSheet!AG117</f>
        <v>0</v>
      </c>
      <c r="AH116">
        <f>[1]TDSheet!AH117</f>
        <v>0</v>
      </c>
      <c r="AI116">
        <f>[1]TDSheet!AI117</f>
        <v>0</v>
      </c>
      <c r="AJ116">
        <f>[1]TDSheet!AJ117</f>
        <v>0</v>
      </c>
      <c r="AK116">
        <f>[1]TDSheet!AK117</f>
        <v>0</v>
      </c>
      <c r="AL116">
        <f>[1]TDSheet!AL117</f>
        <v>0</v>
      </c>
      <c r="AM116">
        <f>[1]TDSheet!AM117</f>
        <v>0</v>
      </c>
      <c r="AN116">
        <f>[1]TDSheet!AN117</f>
        <v>0</v>
      </c>
      <c r="AO116">
        <f>[1]TDSheet!AO117</f>
        <v>0</v>
      </c>
      <c r="AP116">
        <f>[1]TDSheet!AP117</f>
        <v>0</v>
      </c>
      <c r="AQ116">
        <f>[1]TDSheet!AQ117</f>
        <v>0</v>
      </c>
      <c r="AR116">
        <f>[1]TDSheet!AR117</f>
        <v>0</v>
      </c>
      <c r="AS116">
        <f>[1]TDSheet!AS117</f>
        <v>0</v>
      </c>
      <c r="AT116">
        <f>[1]TDSheet!AT117</f>
        <v>0</v>
      </c>
      <c r="AU116">
        <f>[1]TDSheet!AU117</f>
        <v>0</v>
      </c>
      <c r="AV116">
        <f>[1]TDSheet!AV117</f>
        <v>0</v>
      </c>
      <c r="AW116">
        <f>[1]TDSheet!AW117</f>
        <v>0</v>
      </c>
      <c r="AX116">
        <f>[1]TDSheet!AX117</f>
        <v>0</v>
      </c>
      <c r="AY116">
        <f>[1]TDSheet!AY117</f>
        <v>0</v>
      </c>
      <c r="AZ116">
        <f>[1]TDSheet!AZ117</f>
        <v>0</v>
      </c>
      <c r="BA116">
        <f>[1]TDSheet!BA117</f>
        <v>0</v>
      </c>
      <c r="BB116">
        <f>[1]TDSheet!BB117</f>
        <v>0</v>
      </c>
      <c r="BC116">
        <f>[1]TDSheet!BC117</f>
        <v>0</v>
      </c>
      <c r="BD116">
        <f>[1]TDSheet!BD117</f>
        <v>0</v>
      </c>
      <c r="BE116">
        <f>[1]TDSheet!BE117</f>
        <v>0</v>
      </c>
    </row>
    <row r="117" spans="1:57" x14ac:dyDescent="0.25">
      <c r="A117">
        <f>[1]TDSheet!A118</f>
        <v>0</v>
      </c>
      <c r="B117">
        <f>[1]TDSheet!B118</f>
        <v>0</v>
      </c>
      <c r="C117" t="str">
        <f>TEXT([1]TDSheet!C118,"ДД.ММ.ГГГГ")</f>
        <v>00.01.1900</v>
      </c>
      <c r="D117">
        <f>[1]TDSheet!D118</f>
        <v>0</v>
      </c>
      <c r="E117">
        <f>[1]TDSheet!E118</f>
        <v>0</v>
      </c>
      <c r="F117">
        <f>[1]TDSheet!F118</f>
        <v>0</v>
      </c>
      <c r="G117">
        <f>[1]TDSheet!G118</f>
        <v>0</v>
      </c>
      <c r="H117">
        <f>[1]TDSheet!H118</f>
        <v>0</v>
      </c>
      <c r="I117">
        <f>[1]TDSheet!I118</f>
        <v>0</v>
      </c>
      <c r="J117">
        <f>[1]TDSheet!J118</f>
        <v>0</v>
      </c>
      <c r="K117">
        <f>[1]TDSheet!K118</f>
        <v>0</v>
      </c>
      <c r="L117" t="str">
        <f>[1]TDSheet!L118</f>
        <v>Выдан</v>
      </c>
      <c r="M117" t="str">
        <f>TEXT([1]TDSheet!M118,"ДД.ММ.ГГГГ")</f>
        <v>00.01.1900</v>
      </c>
      <c r="N117">
        <f>[1]TDSheet!N118</f>
        <v>0</v>
      </c>
      <c r="O117">
        <f>[1]TDSheet!O118</f>
        <v>0</v>
      </c>
      <c r="P117" t="str">
        <f>[1]TDSheet!P118</f>
        <v xml:space="preserve">   ,Выдан 00.01.1900 </v>
      </c>
      <c r="Q117">
        <f>[1]TDSheet!Q118</f>
        <v>0</v>
      </c>
      <c r="R117">
        <f>[1]TDSheet!R118</f>
        <v>0</v>
      </c>
      <c r="S117">
        <f>[1]TDSheet!S118</f>
        <v>0</v>
      </c>
      <c r="T117">
        <f>[1]TDSheet!T118</f>
        <v>0</v>
      </c>
      <c r="U117">
        <f>[1]TDSheet!U118</f>
        <v>0</v>
      </c>
      <c r="V117">
        <f>[1]TDSheet!V118</f>
        <v>0</v>
      </c>
      <c r="W117">
        <f>[1]TDSheet!W118</f>
        <v>0</v>
      </c>
      <c r="X117">
        <f>[1]TDSheet!X118</f>
        <v>0</v>
      </c>
      <c r="Y117">
        <f>[1]TDSheet!Y118</f>
        <v>0</v>
      </c>
      <c r="Z117">
        <f>[1]TDSheet!Z118</f>
        <v>0</v>
      </c>
      <c r="AA117">
        <f>[1]TDSheet!AA118</f>
        <v>0</v>
      </c>
      <c r="AB117">
        <f>[1]TDSheet!AB118</f>
        <v>0</v>
      </c>
      <c r="AC117">
        <f>[1]TDSheet!AC118</f>
        <v>0</v>
      </c>
      <c r="AD117">
        <f>[1]TDSheet!AD118</f>
        <v>0</v>
      </c>
      <c r="AE117">
        <f>[1]TDSheet!AE118</f>
        <v>0</v>
      </c>
      <c r="AF117">
        <f>[1]TDSheet!AF118</f>
        <v>0</v>
      </c>
      <c r="AG117">
        <f>[1]TDSheet!AG118</f>
        <v>0</v>
      </c>
      <c r="AH117">
        <f>[1]TDSheet!AH118</f>
        <v>0</v>
      </c>
      <c r="AI117">
        <f>[1]TDSheet!AI118</f>
        <v>0</v>
      </c>
      <c r="AJ117">
        <f>[1]TDSheet!AJ118</f>
        <v>0</v>
      </c>
      <c r="AK117">
        <f>[1]TDSheet!AK118</f>
        <v>0</v>
      </c>
      <c r="AL117">
        <f>[1]TDSheet!AL118</f>
        <v>0</v>
      </c>
      <c r="AM117">
        <f>[1]TDSheet!AM118</f>
        <v>0</v>
      </c>
      <c r="AN117">
        <f>[1]TDSheet!AN118</f>
        <v>0</v>
      </c>
      <c r="AO117">
        <f>[1]TDSheet!AO118</f>
        <v>0</v>
      </c>
      <c r="AP117">
        <f>[1]TDSheet!AP118</f>
        <v>0</v>
      </c>
      <c r="AQ117">
        <f>[1]TDSheet!AQ118</f>
        <v>0</v>
      </c>
      <c r="AR117">
        <f>[1]TDSheet!AR118</f>
        <v>0</v>
      </c>
      <c r="AS117">
        <f>[1]TDSheet!AS118</f>
        <v>0</v>
      </c>
      <c r="AT117">
        <f>[1]TDSheet!AT118</f>
        <v>0</v>
      </c>
      <c r="AU117">
        <f>[1]TDSheet!AU118</f>
        <v>0</v>
      </c>
      <c r="AV117">
        <f>[1]TDSheet!AV118</f>
        <v>0</v>
      </c>
      <c r="AW117">
        <f>[1]TDSheet!AW118</f>
        <v>0</v>
      </c>
      <c r="AX117">
        <f>[1]TDSheet!AX118</f>
        <v>0</v>
      </c>
      <c r="AY117">
        <f>[1]TDSheet!AY118</f>
        <v>0</v>
      </c>
      <c r="AZ117">
        <f>[1]TDSheet!AZ118</f>
        <v>0</v>
      </c>
      <c r="BA117">
        <f>[1]TDSheet!BA118</f>
        <v>0</v>
      </c>
      <c r="BB117">
        <f>[1]TDSheet!BB118</f>
        <v>0</v>
      </c>
      <c r="BC117">
        <f>[1]TDSheet!BC118</f>
        <v>0</v>
      </c>
      <c r="BD117">
        <f>[1]TDSheet!BD118</f>
        <v>0</v>
      </c>
      <c r="BE117">
        <f>[1]TDSheet!BE118</f>
        <v>0</v>
      </c>
    </row>
    <row r="118" spans="1:57" x14ac:dyDescent="0.25">
      <c r="A118">
        <f>[1]TDSheet!A119</f>
        <v>0</v>
      </c>
      <c r="B118">
        <f>[1]TDSheet!B119</f>
        <v>0</v>
      </c>
      <c r="C118" t="str">
        <f>TEXT([1]TDSheet!C119,"ДД.ММ.ГГГГ")</f>
        <v>00.01.1900</v>
      </c>
      <c r="D118">
        <f>[1]TDSheet!D119</f>
        <v>0</v>
      </c>
      <c r="E118">
        <f>[1]TDSheet!E119</f>
        <v>0</v>
      </c>
      <c r="F118">
        <f>[1]TDSheet!F119</f>
        <v>0</v>
      </c>
      <c r="G118">
        <f>[1]TDSheet!G119</f>
        <v>0</v>
      </c>
      <c r="H118">
        <f>[1]TDSheet!H119</f>
        <v>0</v>
      </c>
      <c r="I118">
        <f>[1]TDSheet!I119</f>
        <v>0</v>
      </c>
      <c r="J118">
        <f>[1]TDSheet!J119</f>
        <v>0</v>
      </c>
      <c r="K118">
        <f>[1]TDSheet!K119</f>
        <v>0</v>
      </c>
      <c r="L118" t="str">
        <f>[1]TDSheet!L119</f>
        <v>Выдан</v>
      </c>
      <c r="M118" t="str">
        <f>TEXT([1]TDSheet!M119,"ДД.ММ.ГГГГ")</f>
        <v>00.01.1900</v>
      </c>
      <c r="N118">
        <f>[1]TDSheet!N119</f>
        <v>0</v>
      </c>
      <c r="O118">
        <f>[1]TDSheet!O119</f>
        <v>0</v>
      </c>
      <c r="P118" t="str">
        <f>[1]TDSheet!P119</f>
        <v xml:space="preserve">   ,Выдан 00.01.1900 </v>
      </c>
      <c r="Q118">
        <f>[1]TDSheet!Q119</f>
        <v>0</v>
      </c>
      <c r="R118">
        <f>[1]TDSheet!R119</f>
        <v>0</v>
      </c>
      <c r="S118">
        <f>[1]TDSheet!S119</f>
        <v>0</v>
      </c>
      <c r="T118">
        <f>[1]TDSheet!T119</f>
        <v>0</v>
      </c>
      <c r="U118">
        <f>[1]TDSheet!U119</f>
        <v>0</v>
      </c>
      <c r="V118">
        <f>[1]TDSheet!V119</f>
        <v>0</v>
      </c>
      <c r="W118">
        <f>[1]TDSheet!W119</f>
        <v>0</v>
      </c>
      <c r="X118">
        <f>[1]TDSheet!X119</f>
        <v>0</v>
      </c>
      <c r="Y118">
        <f>[1]TDSheet!Y119</f>
        <v>0</v>
      </c>
      <c r="Z118">
        <f>[1]TDSheet!Z119</f>
        <v>0</v>
      </c>
      <c r="AA118">
        <f>[1]TDSheet!AA119</f>
        <v>0</v>
      </c>
      <c r="AB118">
        <f>[1]TDSheet!AB119</f>
        <v>0</v>
      </c>
      <c r="AC118">
        <f>[1]TDSheet!AC119</f>
        <v>0</v>
      </c>
      <c r="AD118">
        <f>[1]TDSheet!AD119</f>
        <v>0</v>
      </c>
      <c r="AE118">
        <f>[1]TDSheet!AE119</f>
        <v>0</v>
      </c>
      <c r="AF118">
        <f>[1]TDSheet!AF119</f>
        <v>0</v>
      </c>
      <c r="AG118">
        <f>[1]TDSheet!AG119</f>
        <v>0</v>
      </c>
      <c r="AH118">
        <f>[1]TDSheet!AH119</f>
        <v>0</v>
      </c>
      <c r="AI118">
        <f>[1]TDSheet!AI119</f>
        <v>0</v>
      </c>
      <c r="AJ118">
        <f>[1]TDSheet!AJ119</f>
        <v>0</v>
      </c>
      <c r="AK118">
        <f>[1]TDSheet!AK119</f>
        <v>0</v>
      </c>
      <c r="AL118">
        <f>[1]TDSheet!AL119</f>
        <v>0</v>
      </c>
      <c r="AM118">
        <f>[1]TDSheet!AM119</f>
        <v>0</v>
      </c>
      <c r="AN118">
        <f>[1]TDSheet!AN119</f>
        <v>0</v>
      </c>
      <c r="AO118">
        <f>[1]TDSheet!AO119</f>
        <v>0</v>
      </c>
      <c r="AP118">
        <f>[1]TDSheet!AP119</f>
        <v>0</v>
      </c>
      <c r="AQ118">
        <f>[1]TDSheet!AQ119</f>
        <v>0</v>
      </c>
      <c r="AR118">
        <f>[1]TDSheet!AR119</f>
        <v>0</v>
      </c>
      <c r="AS118">
        <f>[1]TDSheet!AS119</f>
        <v>0</v>
      </c>
      <c r="AT118">
        <f>[1]TDSheet!AT119</f>
        <v>0</v>
      </c>
      <c r="AU118">
        <f>[1]TDSheet!AU119</f>
        <v>0</v>
      </c>
      <c r="AV118">
        <f>[1]TDSheet!AV119</f>
        <v>0</v>
      </c>
      <c r="AW118">
        <f>[1]TDSheet!AW119</f>
        <v>0</v>
      </c>
      <c r="AX118">
        <f>[1]TDSheet!AX119</f>
        <v>0</v>
      </c>
      <c r="AY118">
        <f>[1]TDSheet!AY119</f>
        <v>0</v>
      </c>
      <c r="AZ118">
        <f>[1]TDSheet!AZ119</f>
        <v>0</v>
      </c>
      <c r="BA118">
        <f>[1]TDSheet!BA119</f>
        <v>0</v>
      </c>
      <c r="BB118">
        <f>[1]TDSheet!BB119</f>
        <v>0</v>
      </c>
      <c r="BC118">
        <f>[1]TDSheet!BC119</f>
        <v>0</v>
      </c>
      <c r="BD118">
        <f>[1]TDSheet!BD119</f>
        <v>0</v>
      </c>
      <c r="BE118">
        <f>[1]TDSheet!BE119</f>
        <v>0</v>
      </c>
    </row>
    <row r="119" spans="1:57" x14ac:dyDescent="0.25">
      <c r="A119">
        <f>[1]TDSheet!A120</f>
        <v>0</v>
      </c>
      <c r="B119">
        <f>[1]TDSheet!B120</f>
        <v>0</v>
      </c>
      <c r="C119" t="str">
        <f>TEXT([1]TDSheet!C120,"ДД.ММ.ГГГГ")</f>
        <v>00.01.1900</v>
      </c>
      <c r="D119">
        <f>[1]TDSheet!D120</f>
        <v>0</v>
      </c>
      <c r="E119">
        <f>[1]TDSheet!E120</f>
        <v>0</v>
      </c>
      <c r="F119">
        <f>[1]TDSheet!F120</f>
        <v>0</v>
      </c>
      <c r="G119">
        <f>[1]TDSheet!G120</f>
        <v>0</v>
      </c>
      <c r="H119">
        <f>[1]TDSheet!H120</f>
        <v>0</v>
      </c>
      <c r="I119">
        <f>[1]TDSheet!I120</f>
        <v>0</v>
      </c>
      <c r="J119">
        <f>[1]TDSheet!J120</f>
        <v>0</v>
      </c>
      <c r="K119">
        <f>[1]TDSheet!K120</f>
        <v>0</v>
      </c>
      <c r="L119" t="str">
        <f>[1]TDSheet!L120</f>
        <v>Выдан</v>
      </c>
      <c r="M119" t="str">
        <f>TEXT([1]TDSheet!M120,"ДД.ММ.ГГГГ")</f>
        <v>00.01.1900</v>
      </c>
      <c r="N119">
        <f>[1]TDSheet!N120</f>
        <v>0</v>
      </c>
      <c r="O119">
        <f>[1]TDSheet!O120</f>
        <v>0</v>
      </c>
      <c r="P119" t="str">
        <f>[1]TDSheet!P120</f>
        <v xml:space="preserve">   ,Выдан 00.01.1900 </v>
      </c>
      <c r="Q119">
        <f>[1]TDSheet!Q120</f>
        <v>0</v>
      </c>
      <c r="R119">
        <f>[1]TDSheet!R120</f>
        <v>0</v>
      </c>
      <c r="S119">
        <f>[1]TDSheet!S120</f>
        <v>0</v>
      </c>
      <c r="T119">
        <f>[1]TDSheet!T120</f>
        <v>0</v>
      </c>
      <c r="U119">
        <f>[1]TDSheet!U120</f>
        <v>0</v>
      </c>
      <c r="V119">
        <f>[1]TDSheet!V120</f>
        <v>0</v>
      </c>
      <c r="W119">
        <f>[1]TDSheet!W120</f>
        <v>0</v>
      </c>
      <c r="X119">
        <f>[1]TDSheet!X120</f>
        <v>0</v>
      </c>
      <c r="Y119">
        <f>[1]TDSheet!Y120</f>
        <v>0</v>
      </c>
      <c r="Z119">
        <f>[1]TDSheet!Z120</f>
        <v>0</v>
      </c>
      <c r="AA119">
        <f>[1]TDSheet!AA120</f>
        <v>0</v>
      </c>
      <c r="AB119">
        <f>[1]TDSheet!AB120</f>
        <v>0</v>
      </c>
      <c r="AC119">
        <f>[1]TDSheet!AC120</f>
        <v>0</v>
      </c>
      <c r="AD119">
        <f>[1]TDSheet!AD120</f>
        <v>0</v>
      </c>
      <c r="AE119">
        <f>[1]TDSheet!AE120</f>
        <v>0</v>
      </c>
      <c r="AF119">
        <f>[1]TDSheet!AF120</f>
        <v>0</v>
      </c>
      <c r="AG119">
        <f>[1]TDSheet!AG120</f>
        <v>0</v>
      </c>
      <c r="AH119">
        <f>[1]TDSheet!AH120</f>
        <v>0</v>
      </c>
      <c r="AI119">
        <f>[1]TDSheet!AI120</f>
        <v>0</v>
      </c>
      <c r="AJ119">
        <f>[1]TDSheet!AJ120</f>
        <v>0</v>
      </c>
      <c r="AK119">
        <f>[1]TDSheet!AK120</f>
        <v>0</v>
      </c>
      <c r="AL119">
        <f>[1]TDSheet!AL120</f>
        <v>0</v>
      </c>
      <c r="AM119">
        <f>[1]TDSheet!AM120</f>
        <v>0</v>
      </c>
      <c r="AN119">
        <f>[1]TDSheet!AN120</f>
        <v>0</v>
      </c>
      <c r="AO119">
        <f>[1]TDSheet!AO120</f>
        <v>0</v>
      </c>
      <c r="AP119">
        <f>[1]TDSheet!AP120</f>
        <v>0</v>
      </c>
      <c r="AQ119">
        <f>[1]TDSheet!AQ120</f>
        <v>0</v>
      </c>
      <c r="AR119">
        <f>[1]TDSheet!AR120</f>
        <v>0</v>
      </c>
      <c r="AS119">
        <f>[1]TDSheet!AS120</f>
        <v>0</v>
      </c>
      <c r="AT119">
        <f>[1]TDSheet!AT120</f>
        <v>0</v>
      </c>
      <c r="AU119">
        <f>[1]TDSheet!AU120</f>
        <v>0</v>
      </c>
      <c r="AV119">
        <f>[1]TDSheet!AV120</f>
        <v>0</v>
      </c>
      <c r="AW119">
        <f>[1]TDSheet!AW120</f>
        <v>0</v>
      </c>
      <c r="AX119">
        <f>[1]TDSheet!AX120</f>
        <v>0</v>
      </c>
      <c r="AY119">
        <f>[1]TDSheet!AY120</f>
        <v>0</v>
      </c>
      <c r="AZ119">
        <f>[1]TDSheet!AZ120</f>
        <v>0</v>
      </c>
      <c r="BA119">
        <f>[1]TDSheet!BA120</f>
        <v>0</v>
      </c>
      <c r="BB119">
        <f>[1]TDSheet!BB120</f>
        <v>0</v>
      </c>
      <c r="BC119">
        <f>[1]TDSheet!BC120</f>
        <v>0</v>
      </c>
      <c r="BD119">
        <f>[1]TDSheet!BD120</f>
        <v>0</v>
      </c>
      <c r="BE119">
        <f>[1]TDSheet!BE120</f>
        <v>0</v>
      </c>
    </row>
    <row r="120" spans="1:57" x14ac:dyDescent="0.25">
      <c r="A120">
        <f>[1]TDSheet!A121</f>
        <v>0</v>
      </c>
      <c r="B120">
        <f>[1]TDSheet!B121</f>
        <v>0</v>
      </c>
      <c r="C120" t="str">
        <f>TEXT([1]TDSheet!C121,"ДД.ММ.ГГГГ")</f>
        <v>00.01.1900</v>
      </c>
      <c r="D120">
        <f>[1]TDSheet!D121</f>
        <v>0</v>
      </c>
      <c r="E120">
        <f>[1]TDSheet!E121</f>
        <v>0</v>
      </c>
      <c r="F120">
        <f>[1]TDSheet!F121</f>
        <v>0</v>
      </c>
      <c r="G120">
        <f>[1]TDSheet!G121</f>
        <v>0</v>
      </c>
      <c r="H120">
        <f>[1]TDSheet!H121</f>
        <v>0</v>
      </c>
      <c r="I120">
        <f>[1]TDSheet!I121</f>
        <v>0</v>
      </c>
      <c r="J120">
        <f>[1]TDSheet!J121</f>
        <v>0</v>
      </c>
      <c r="K120">
        <f>[1]TDSheet!K121</f>
        <v>0</v>
      </c>
      <c r="L120">
        <f>[1]TDSheet!L121</f>
        <v>0</v>
      </c>
      <c r="M120" t="str">
        <f>TEXT([1]TDSheet!M121,"ДД.ММ.ГГГГ")</f>
        <v>00.01.1900</v>
      </c>
      <c r="N120">
        <f>[1]TDSheet!N121</f>
        <v>0</v>
      </c>
      <c r="O120">
        <f>[1]TDSheet!O121</f>
        <v>0</v>
      </c>
      <c r="P120" t="str">
        <f>[1]TDSheet!P121</f>
        <v xml:space="preserve">   , 00.01.1900 </v>
      </c>
      <c r="Q120">
        <f>[1]TDSheet!Q121</f>
        <v>0</v>
      </c>
      <c r="R120">
        <f>[1]TDSheet!R121</f>
        <v>0</v>
      </c>
      <c r="S120">
        <f>[1]TDSheet!S121</f>
        <v>0</v>
      </c>
      <c r="T120">
        <f>[1]TDSheet!T121</f>
        <v>0</v>
      </c>
      <c r="U120">
        <f>[1]TDSheet!U121</f>
        <v>0</v>
      </c>
      <c r="V120">
        <f>[1]TDSheet!V121</f>
        <v>0</v>
      </c>
      <c r="W120">
        <f>[1]TDSheet!W121</f>
        <v>0</v>
      </c>
      <c r="X120">
        <f>[1]TDSheet!X121</f>
        <v>0</v>
      </c>
      <c r="Y120">
        <f>[1]TDSheet!Y121</f>
        <v>0</v>
      </c>
      <c r="Z120">
        <f>[1]TDSheet!Z121</f>
        <v>0</v>
      </c>
      <c r="AA120">
        <f>[1]TDSheet!AA121</f>
        <v>0</v>
      </c>
      <c r="AB120">
        <f>[1]TDSheet!AB121</f>
        <v>0</v>
      </c>
      <c r="AC120">
        <f>[1]TDSheet!AC121</f>
        <v>0</v>
      </c>
      <c r="AD120">
        <f>[1]TDSheet!AD121</f>
        <v>0</v>
      </c>
      <c r="AE120">
        <f>[1]TDSheet!AE121</f>
        <v>0</v>
      </c>
      <c r="AF120">
        <f>[1]TDSheet!AF121</f>
        <v>0</v>
      </c>
      <c r="AG120">
        <f>[1]TDSheet!AG121</f>
        <v>0</v>
      </c>
      <c r="AH120">
        <f>[1]TDSheet!AH121</f>
        <v>0</v>
      </c>
      <c r="AI120">
        <f>[1]TDSheet!AI121</f>
        <v>0</v>
      </c>
      <c r="AJ120">
        <f>[1]TDSheet!AJ121</f>
        <v>0</v>
      </c>
      <c r="AK120">
        <f>[1]TDSheet!AK121</f>
        <v>0</v>
      </c>
      <c r="AL120">
        <f>[1]TDSheet!AL121</f>
        <v>0</v>
      </c>
      <c r="AM120">
        <f>[1]TDSheet!AM121</f>
        <v>0</v>
      </c>
      <c r="AN120">
        <f>[1]TDSheet!AN121</f>
        <v>0</v>
      </c>
      <c r="AO120">
        <f>[1]TDSheet!AO121</f>
        <v>0</v>
      </c>
      <c r="AP120">
        <f>[1]TDSheet!AP121</f>
        <v>0</v>
      </c>
      <c r="AQ120">
        <f>[1]TDSheet!AQ121</f>
        <v>0</v>
      </c>
      <c r="AR120">
        <f>[1]TDSheet!AR121</f>
        <v>0</v>
      </c>
      <c r="AS120">
        <f>[1]TDSheet!AS121</f>
        <v>0</v>
      </c>
      <c r="AT120">
        <f>[1]TDSheet!AT121</f>
        <v>0</v>
      </c>
      <c r="AU120">
        <f>[1]TDSheet!AU121</f>
        <v>0</v>
      </c>
      <c r="AV120">
        <f>[1]TDSheet!AV121</f>
        <v>0</v>
      </c>
      <c r="AW120">
        <f>[1]TDSheet!AW121</f>
        <v>0</v>
      </c>
      <c r="AX120">
        <f>[1]TDSheet!AX121</f>
        <v>0</v>
      </c>
      <c r="AY120">
        <f>[1]TDSheet!AY121</f>
        <v>0</v>
      </c>
      <c r="AZ120">
        <f>[1]TDSheet!AZ121</f>
        <v>0</v>
      </c>
      <c r="BA120">
        <f>[1]TDSheet!BA121</f>
        <v>0</v>
      </c>
      <c r="BB120">
        <f>[1]TDSheet!BB121</f>
        <v>0</v>
      </c>
      <c r="BC120">
        <f>[1]TDSheet!BC121</f>
        <v>0</v>
      </c>
      <c r="BD120">
        <f>[1]TDSheet!BD121</f>
        <v>0</v>
      </c>
      <c r="BE120">
        <f>[1]TDSheet!BE121</f>
        <v>0</v>
      </c>
    </row>
    <row r="121" spans="1:57" x14ac:dyDescent="0.25">
      <c r="A121">
        <f>[1]TDSheet!A122</f>
        <v>0</v>
      </c>
      <c r="B121">
        <f>[1]TDSheet!B122</f>
        <v>0</v>
      </c>
      <c r="C121" t="str">
        <f>TEXT([1]TDSheet!C122,"ДД.ММ.ГГГГ")</f>
        <v>00.01.1900</v>
      </c>
      <c r="D121">
        <f>[1]TDSheet!D122</f>
        <v>0</v>
      </c>
      <c r="E121">
        <f>[1]TDSheet!E122</f>
        <v>0</v>
      </c>
      <c r="F121">
        <f>[1]TDSheet!F122</f>
        <v>0</v>
      </c>
      <c r="G121">
        <f>[1]TDSheet!G122</f>
        <v>0</v>
      </c>
      <c r="H121">
        <f>[1]TDSheet!H122</f>
        <v>0</v>
      </c>
      <c r="I121">
        <f>[1]TDSheet!I122</f>
        <v>0</v>
      </c>
      <c r="J121">
        <f>[1]TDSheet!J122</f>
        <v>0</v>
      </c>
      <c r="K121">
        <f>[1]TDSheet!K122</f>
        <v>0</v>
      </c>
      <c r="L121">
        <f>[1]TDSheet!L122</f>
        <v>0</v>
      </c>
      <c r="M121" t="str">
        <f>TEXT([1]TDSheet!M122,"ДД.ММ.ГГГГ")</f>
        <v>00.01.1900</v>
      </c>
      <c r="N121">
        <f>[1]TDSheet!N122</f>
        <v>0</v>
      </c>
      <c r="O121">
        <f>[1]TDSheet!O122</f>
        <v>0</v>
      </c>
      <c r="P121">
        <f>[1]TDSheet!P122</f>
        <v>0</v>
      </c>
      <c r="Q121">
        <f>[1]TDSheet!Q122</f>
        <v>0</v>
      </c>
      <c r="R121">
        <f>[1]TDSheet!R122</f>
        <v>0</v>
      </c>
      <c r="S121">
        <f>[1]TDSheet!S122</f>
        <v>0</v>
      </c>
      <c r="T121">
        <f>[1]TDSheet!T122</f>
        <v>0</v>
      </c>
      <c r="U121">
        <f>[1]TDSheet!U122</f>
        <v>0</v>
      </c>
      <c r="V121">
        <f>[1]TDSheet!V122</f>
        <v>0</v>
      </c>
      <c r="W121">
        <f>[1]TDSheet!W122</f>
        <v>0</v>
      </c>
      <c r="X121">
        <f>[1]TDSheet!X122</f>
        <v>0</v>
      </c>
      <c r="Y121">
        <f>[1]TDSheet!Y122</f>
        <v>0</v>
      </c>
      <c r="Z121">
        <f>[1]TDSheet!Z122</f>
        <v>0</v>
      </c>
      <c r="AA121">
        <f>[1]TDSheet!AA122</f>
        <v>0</v>
      </c>
      <c r="AB121">
        <f>[1]TDSheet!AB122</f>
        <v>0</v>
      </c>
      <c r="AC121">
        <f>[1]TDSheet!AC122</f>
        <v>0</v>
      </c>
      <c r="AD121">
        <f>[1]TDSheet!AD122</f>
        <v>0</v>
      </c>
      <c r="AE121">
        <f>[1]TDSheet!AE122</f>
        <v>0</v>
      </c>
      <c r="AF121">
        <f>[1]TDSheet!AF122</f>
        <v>0</v>
      </c>
      <c r="AG121">
        <f>[1]TDSheet!AG122</f>
        <v>0</v>
      </c>
      <c r="AH121">
        <f>[1]TDSheet!AH122</f>
        <v>0</v>
      </c>
      <c r="AI121">
        <f>[1]TDSheet!AI122</f>
        <v>0</v>
      </c>
      <c r="AJ121">
        <f>[1]TDSheet!AJ122</f>
        <v>0</v>
      </c>
      <c r="AK121">
        <f>[1]TDSheet!AK122</f>
        <v>0</v>
      </c>
      <c r="AL121">
        <f>[1]TDSheet!AL122</f>
        <v>0</v>
      </c>
      <c r="AM121">
        <f>[1]TDSheet!AM122</f>
        <v>0</v>
      </c>
      <c r="AN121">
        <f>[1]TDSheet!AN122</f>
        <v>0</v>
      </c>
      <c r="AO121">
        <f>[1]TDSheet!AO122</f>
        <v>0</v>
      </c>
      <c r="AP121">
        <f>[1]TDSheet!AP122</f>
        <v>0</v>
      </c>
      <c r="AQ121">
        <f>[1]TDSheet!AQ122</f>
        <v>0</v>
      </c>
      <c r="AR121">
        <f>[1]TDSheet!AR122</f>
        <v>0</v>
      </c>
      <c r="AS121">
        <f>[1]TDSheet!AS122</f>
        <v>0</v>
      </c>
      <c r="AT121">
        <f>[1]TDSheet!AT122</f>
        <v>0</v>
      </c>
      <c r="AU121">
        <f>[1]TDSheet!AU122</f>
        <v>0</v>
      </c>
      <c r="AV121">
        <f>[1]TDSheet!AV122</f>
        <v>0</v>
      </c>
      <c r="AW121">
        <f>[1]TDSheet!AW122</f>
        <v>0</v>
      </c>
      <c r="AX121">
        <f>[1]TDSheet!AX122</f>
        <v>0</v>
      </c>
      <c r="AY121">
        <f>[1]TDSheet!AY122</f>
        <v>0</v>
      </c>
      <c r="AZ121">
        <f>[1]TDSheet!AZ122</f>
        <v>0</v>
      </c>
      <c r="BA121">
        <f>[1]TDSheet!BA122</f>
        <v>0</v>
      </c>
      <c r="BB121">
        <f>[1]TDSheet!BB122</f>
        <v>0</v>
      </c>
      <c r="BC121">
        <f>[1]TDSheet!BC122</f>
        <v>0</v>
      </c>
      <c r="BD121">
        <f>[1]TDSheet!BD122</f>
        <v>0</v>
      </c>
      <c r="BE121">
        <f>[1]TDSheet!BE122</f>
        <v>0</v>
      </c>
    </row>
    <row r="122" spans="1:57" x14ac:dyDescent="0.25">
      <c r="A122">
        <f>[1]TDSheet!A123</f>
        <v>0</v>
      </c>
      <c r="B122">
        <f>[1]TDSheet!B123</f>
        <v>0</v>
      </c>
      <c r="C122" t="str">
        <f>TEXT([1]TDSheet!C123,"ДД.ММ.ГГГГ")</f>
        <v>00.01.1900</v>
      </c>
      <c r="D122">
        <f>[1]TDSheet!D123</f>
        <v>0</v>
      </c>
      <c r="E122">
        <f>[1]TDSheet!E123</f>
        <v>0</v>
      </c>
      <c r="F122">
        <f>[1]TDSheet!F123</f>
        <v>0</v>
      </c>
      <c r="G122">
        <f>[1]TDSheet!G123</f>
        <v>0</v>
      </c>
      <c r="H122">
        <f>[1]TDSheet!H123</f>
        <v>0</v>
      </c>
      <c r="I122">
        <f>[1]TDSheet!I123</f>
        <v>0</v>
      </c>
      <c r="J122">
        <f>[1]TDSheet!J123</f>
        <v>0</v>
      </c>
      <c r="K122">
        <f>[1]TDSheet!K123</f>
        <v>0</v>
      </c>
      <c r="L122">
        <f>[1]TDSheet!L123</f>
        <v>0</v>
      </c>
      <c r="M122" t="str">
        <f>TEXT([1]TDSheet!M123,"ДД.ММ.ГГГГ")</f>
        <v>00.01.1900</v>
      </c>
      <c r="N122">
        <f>[1]TDSheet!N123</f>
        <v>0</v>
      </c>
      <c r="O122">
        <f>[1]TDSheet!O123</f>
        <v>0</v>
      </c>
      <c r="P122">
        <f>[1]TDSheet!P123</f>
        <v>0</v>
      </c>
      <c r="Q122">
        <f>[1]TDSheet!Q123</f>
        <v>0</v>
      </c>
      <c r="R122">
        <f>[1]TDSheet!R123</f>
        <v>0</v>
      </c>
      <c r="S122">
        <f>[1]TDSheet!S123</f>
        <v>0</v>
      </c>
      <c r="T122">
        <f>[1]TDSheet!T123</f>
        <v>0</v>
      </c>
      <c r="U122">
        <f>[1]TDSheet!U123</f>
        <v>0</v>
      </c>
      <c r="V122">
        <f>[1]TDSheet!V123</f>
        <v>0</v>
      </c>
      <c r="W122">
        <f>[1]TDSheet!W123</f>
        <v>0</v>
      </c>
      <c r="X122">
        <f>[1]TDSheet!X123</f>
        <v>0</v>
      </c>
      <c r="Y122">
        <f>[1]TDSheet!Y123</f>
        <v>0</v>
      </c>
      <c r="Z122">
        <f>[1]TDSheet!Z123</f>
        <v>0</v>
      </c>
      <c r="AA122">
        <f>[1]TDSheet!AA123</f>
        <v>0</v>
      </c>
      <c r="AB122">
        <f>[1]TDSheet!AB123</f>
        <v>0</v>
      </c>
      <c r="AC122">
        <f>[1]TDSheet!AC123</f>
        <v>0</v>
      </c>
      <c r="AD122">
        <f>[1]TDSheet!AD123</f>
        <v>0</v>
      </c>
      <c r="AE122">
        <f>[1]TDSheet!AE123</f>
        <v>0</v>
      </c>
      <c r="AF122">
        <f>[1]TDSheet!AF123</f>
        <v>0</v>
      </c>
      <c r="AG122">
        <f>[1]TDSheet!AG123</f>
        <v>0</v>
      </c>
      <c r="AH122">
        <f>[1]TDSheet!AH123</f>
        <v>0</v>
      </c>
      <c r="AI122">
        <f>[1]TDSheet!AI123</f>
        <v>0</v>
      </c>
      <c r="AJ122">
        <f>[1]TDSheet!AJ123</f>
        <v>0</v>
      </c>
      <c r="AK122">
        <f>[1]TDSheet!AK123</f>
        <v>0</v>
      </c>
      <c r="AL122">
        <f>[1]TDSheet!AL123</f>
        <v>0</v>
      </c>
      <c r="AM122">
        <f>[1]TDSheet!AM123</f>
        <v>0</v>
      </c>
      <c r="AN122">
        <f>[1]TDSheet!AN123</f>
        <v>0</v>
      </c>
      <c r="AO122">
        <f>[1]TDSheet!AO123</f>
        <v>0</v>
      </c>
      <c r="AP122">
        <f>[1]TDSheet!AP123</f>
        <v>0</v>
      </c>
      <c r="AQ122">
        <f>[1]TDSheet!AQ123</f>
        <v>0</v>
      </c>
      <c r="AR122">
        <f>[1]TDSheet!AR123</f>
        <v>0</v>
      </c>
      <c r="AS122">
        <f>[1]TDSheet!AS123</f>
        <v>0</v>
      </c>
      <c r="AT122">
        <f>[1]TDSheet!AT123</f>
        <v>0</v>
      </c>
      <c r="AU122">
        <f>[1]TDSheet!AU123</f>
        <v>0</v>
      </c>
      <c r="AV122">
        <f>[1]TDSheet!AV123</f>
        <v>0</v>
      </c>
      <c r="AW122">
        <f>[1]TDSheet!AW123</f>
        <v>0</v>
      </c>
      <c r="AX122">
        <f>[1]TDSheet!AX123</f>
        <v>0</v>
      </c>
      <c r="AY122">
        <f>[1]TDSheet!AY123</f>
        <v>0</v>
      </c>
      <c r="AZ122">
        <f>[1]TDSheet!AZ123</f>
        <v>0</v>
      </c>
      <c r="BA122">
        <f>[1]TDSheet!BA123</f>
        <v>0</v>
      </c>
      <c r="BB122">
        <f>[1]TDSheet!BB123</f>
        <v>0</v>
      </c>
      <c r="BC122">
        <f>[1]TDSheet!BC123</f>
        <v>0</v>
      </c>
      <c r="BD122">
        <f>[1]TDSheet!BD123</f>
        <v>0</v>
      </c>
      <c r="BE122">
        <f>[1]TDSheet!BE123</f>
        <v>0</v>
      </c>
    </row>
    <row r="123" spans="1:57" x14ac:dyDescent="0.25">
      <c r="A123">
        <f>[1]TDSheet!A124</f>
        <v>0</v>
      </c>
      <c r="B123">
        <f>[1]TDSheet!B124</f>
        <v>0</v>
      </c>
      <c r="C123" t="str">
        <f>TEXT([1]TDSheet!C124,"ДД.ММ.ГГГГ")</f>
        <v>00.01.1900</v>
      </c>
      <c r="D123">
        <f>[1]TDSheet!D124</f>
        <v>0</v>
      </c>
      <c r="E123">
        <f>[1]TDSheet!E124</f>
        <v>0</v>
      </c>
      <c r="F123">
        <f>[1]TDSheet!F124</f>
        <v>0</v>
      </c>
      <c r="G123">
        <f>[1]TDSheet!G124</f>
        <v>0</v>
      </c>
      <c r="H123">
        <f>[1]TDSheet!H124</f>
        <v>0</v>
      </c>
      <c r="I123">
        <f>[1]TDSheet!I124</f>
        <v>0</v>
      </c>
      <c r="J123">
        <f>[1]TDSheet!J124</f>
        <v>0</v>
      </c>
      <c r="K123">
        <f>[1]TDSheet!K124</f>
        <v>0</v>
      </c>
      <c r="L123">
        <f>[1]TDSheet!L124</f>
        <v>0</v>
      </c>
      <c r="M123" t="str">
        <f>TEXT([1]TDSheet!M124,"ДД.ММ.ГГГГ")</f>
        <v>00.01.1900</v>
      </c>
      <c r="N123">
        <f>[1]TDSheet!N124</f>
        <v>0</v>
      </c>
      <c r="O123">
        <f>[1]TDSheet!O124</f>
        <v>0</v>
      </c>
      <c r="P123">
        <f>[1]TDSheet!P124</f>
        <v>0</v>
      </c>
      <c r="Q123">
        <f>[1]TDSheet!Q124</f>
        <v>0</v>
      </c>
      <c r="R123">
        <f>[1]TDSheet!R124</f>
        <v>0</v>
      </c>
      <c r="S123">
        <f>[1]TDSheet!S124</f>
        <v>0</v>
      </c>
      <c r="T123">
        <f>[1]TDSheet!T124</f>
        <v>0</v>
      </c>
      <c r="U123">
        <f>[1]TDSheet!U124</f>
        <v>0</v>
      </c>
      <c r="V123">
        <f>[1]TDSheet!V124</f>
        <v>0</v>
      </c>
      <c r="W123">
        <f>[1]TDSheet!W124</f>
        <v>0</v>
      </c>
      <c r="X123">
        <f>[1]TDSheet!X124</f>
        <v>0</v>
      </c>
      <c r="Y123">
        <f>[1]TDSheet!Y124</f>
        <v>0</v>
      </c>
      <c r="Z123">
        <f>[1]TDSheet!Z124</f>
        <v>0</v>
      </c>
      <c r="AA123">
        <f>[1]TDSheet!AA124</f>
        <v>0</v>
      </c>
      <c r="AB123">
        <f>[1]TDSheet!AB124</f>
        <v>0</v>
      </c>
      <c r="AC123">
        <f>[1]TDSheet!AC124</f>
        <v>0</v>
      </c>
      <c r="AD123">
        <f>[1]TDSheet!AD124</f>
        <v>0</v>
      </c>
      <c r="AE123">
        <f>[1]TDSheet!AE124</f>
        <v>0</v>
      </c>
      <c r="AF123">
        <f>[1]TDSheet!AF124</f>
        <v>0</v>
      </c>
      <c r="AG123">
        <f>[1]TDSheet!AG124</f>
        <v>0</v>
      </c>
      <c r="AH123">
        <f>[1]TDSheet!AH124</f>
        <v>0</v>
      </c>
      <c r="AI123">
        <f>[1]TDSheet!AI124</f>
        <v>0</v>
      </c>
      <c r="AJ123">
        <f>[1]TDSheet!AJ124</f>
        <v>0</v>
      </c>
      <c r="AK123">
        <f>[1]TDSheet!AK124</f>
        <v>0</v>
      </c>
      <c r="AL123">
        <f>[1]TDSheet!AL124</f>
        <v>0</v>
      </c>
      <c r="AM123">
        <f>[1]TDSheet!AM124</f>
        <v>0</v>
      </c>
      <c r="AN123">
        <f>[1]TDSheet!AN124</f>
        <v>0</v>
      </c>
      <c r="AO123">
        <f>[1]TDSheet!AO124</f>
        <v>0</v>
      </c>
      <c r="AP123">
        <f>[1]TDSheet!AP124</f>
        <v>0</v>
      </c>
      <c r="AQ123">
        <f>[1]TDSheet!AQ124</f>
        <v>0</v>
      </c>
      <c r="AR123">
        <f>[1]TDSheet!AR124</f>
        <v>0</v>
      </c>
      <c r="AS123">
        <f>[1]TDSheet!AS124</f>
        <v>0</v>
      </c>
      <c r="AT123">
        <f>[1]TDSheet!AT124</f>
        <v>0</v>
      </c>
      <c r="AU123">
        <f>[1]TDSheet!AU124</f>
        <v>0</v>
      </c>
      <c r="AV123">
        <f>[1]TDSheet!AV124</f>
        <v>0</v>
      </c>
      <c r="AW123">
        <f>[1]TDSheet!AW124</f>
        <v>0</v>
      </c>
      <c r="AX123">
        <f>[1]TDSheet!AX124</f>
        <v>0</v>
      </c>
      <c r="AY123">
        <f>[1]TDSheet!AY124</f>
        <v>0</v>
      </c>
      <c r="AZ123">
        <f>[1]TDSheet!AZ124</f>
        <v>0</v>
      </c>
      <c r="BA123">
        <f>[1]TDSheet!BA124</f>
        <v>0</v>
      </c>
      <c r="BB123">
        <f>[1]TDSheet!BB124</f>
        <v>0</v>
      </c>
      <c r="BC123">
        <f>[1]TDSheet!BC124</f>
        <v>0</v>
      </c>
      <c r="BD123">
        <f>[1]TDSheet!BD124</f>
        <v>0</v>
      </c>
      <c r="BE123">
        <f>[1]TDSheet!BE124</f>
        <v>0</v>
      </c>
    </row>
    <row r="124" spans="1:57" x14ac:dyDescent="0.25">
      <c r="A124">
        <f>[1]TDSheet!A125</f>
        <v>0</v>
      </c>
      <c r="B124">
        <f>[1]TDSheet!B125</f>
        <v>0</v>
      </c>
      <c r="C124" t="str">
        <f>TEXT([1]TDSheet!C125,"ДД.ММ.ГГГГ")</f>
        <v>00.01.1900</v>
      </c>
      <c r="D124">
        <f>[1]TDSheet!D125</f>
        <v>0</v>
      </c>
      <c r="E124">
        <f>[1]TDSheet!E125</f>
        <v>0</v>
      </c>
      <c r="F124">
        <f>[1]TDSheet!F125</f>
        <v>0</v>
      </c>
      <c r="G124">
        <f>[1]TDSheet!G125</f>
        <v>0</v>
      </c>
      <c r="H124">
        <f>[1]TDSheet!H125</f>
        <v>0</v>
      </c>
      <c r="I124">
        <f>[1]TDSheet!I125</f>
        <v>0</v>
      </c>
      <c r="J124">
        <f>[1]TDSheet!J125</f>
        <v>0</v>
      </c>
      <c r="K124">
        <f>[1]TDSheet!K125</f>
        <v>0</v>
      </c>
      <c r="L124">
        <f>[1]TDSheet!L125</f>
        <v>0</v>
      </c>
      <c r="M124" t="str">
        <f>TEXT([1]TDSheet!M125,"ДД.ММ.ГГГГ")</f>
        <v>00.01.1900</v>
      </c>
      <c r="N124">
        <f>[1]TDSheet!N125</f>
        <v>0</v>
      </c>
      <c r="O124">
        <f>[1]TDSheet!O125</f>
        <v>0</v>
      </c>
      <c r="P124">
        <f>[1]TDSheet!P125</f>
        <v>0</v>
      </c>
      <c r="Q124">
        <f>[1]TDSheet!Q125</f>
        <v>0</v>
      </c>
      <c r="R124">
        <f>[1]TDSheet!R125</f>
        <v>0</v>
      </c>
      <c r="S124">
        <f>[1]TDSheet!S125</f>
        <v>0</v>
      </c>
      <c r="T124">
        <f>[1]TDSheet!T125</f>
        <v>0</v>
      </c>
      <c r="U124">
        <f>[1]TDSheet!U125</f>
        <v>0</v>
      </c>
      <c r="V124">
        <f>[1]TDSheet!V125</f>
        <v>0</v>
      </c>
      <c r="W124">
        <f>[1]TDSheet!W125</f>
        <v>0</v>
      </c>
      <c r="X124">
        <f>[1]TDSheet!X125</f>
        <v>0</v>
      </c>
      <c r="Y124">
        <f>[1]TDSheet!Y125</f>
        <v>0</v>
      </c>
      <c r="Z124">
        <f>[1]TDSheet!Z125</f>
        <v>0</v>
      </c>
      <c r="AA124">
        <f>[1]TDSheet!AA125</f>
        <v>0</v>
      </c>
      <c r="AB124">
        <f>[1]TDSheet!AB125</f>
        <v>0</v>
      </c>
      <c r="AC124">
        <f>[1]TDSheet!AC125</f>
        <v>0</v>
      </c>
      <c r="AD124">
        <f>[1]TDSheet!AD125</f>
        <v>0</v>
      </c>
      <c r="AE124">
        <f>[1]TDSheet!AE125</f>
        <v>0</v>
      </c>
      <c r="AF124">
        <f>[1]TDSheet!AF125</f>
        <v>0</v>
      </c>
      <c r="AG124">
        <f>[1]TDSheet!AG125</f>
        <v>0</v>
      </c>
      <c r="AH124">
        <f>[1]TDSheet!AH125</f>
        <v>0</v>
      </c>
      <c r="AI124">
        <f>[1]TDSheet!AI125</f>
        <v>0</v>
      </c>
      <c r="AJ124">
        <f>[1]TDSheet!AJ125</f>
        <v>0</v>
      </c>
      <c r="AK124">
        <f>[1]TDSheet!AK125</f>
        <v>0</v>
      </c>
      <c r="AL124">
        <f>[1]TDSheet!AL125</f>
        <v>0</v>
      </c>
      <c r="AM124">
        <f>[1]TDSheet!AM125</f>
        <v>0</v>
      </c>
      <c r="AN124">
        <f>[1]TDSheet!AN125</f>
        <v>0</v>
      </c>
      <c r="AO124">
        <f>[1]TDSheet!AO125</f>
        <v>0</v>
      </c>
      <c r="AP124">
        <f>[1]TDSheet!AP125</f>
        <v>0</v>
      </c>
      <c r="AQ124">
        <f>[1]TDSheet!AQ125</f>
        <v>0</v>
      </c>
      <c r="AR124">
        <f>[1]TDSheet!AR125</f>
        <v>0</v>
      </c>
      <c r="AS124">
        <f>[1]TDSheet!AS125</f>
        <v>0</v>
      </c>
      <c r="AT124">
        <f>[1]TDSheet!AT125</f>
        <v>0</v>
      </c>
      <c r="AU124">
        <f>[1]TDSheet!AU125</f>
        <v>0</v>
      </c>
      <c r="AV124">
        <f>[1]TDSheet!AV125</f>
        <v>0</v>
      </c>
      <c r="AW124">
        <f>[1]TDSheet!AW125</f>
        <v>0</v>
      </c>
      <c r="AX124">
        <f>[1]TDSheet!AX125</f>
        <v>0</v>
      </c>
      <c r="AY124">
        <f>[1]TDSheet!AY125</f>
        <v>0</v>
      </c>
      <c r="AZ124">
        <f>[1]TDSheet!AZ125</f>
        <v>0</v>
      </c>
      <c r="BA124">
        <f>[1]TDSheet!BA125</f>
        <v>0</v>
      </c>
      <c r="BB124">
        <f>[1]TDSheet!BB125</f>
        <v>0</v>
      </c>
      <c r="BC124">
        <f>[1]TDSheet!BC125</f>
        <v>0</v>
      </c>
      <c r="BD124">
        <f>[1]TDSheet!BD125</f>
        <v>0</v>
      </c>
      <c r="BE124">
        <f>[1]TDSheet!BE125</f>
        <v>0</v>
      </c>
    </row>
    <row r="125" spans="1:57" x14ac:dyDescent="0.25">
      <c r="A125">
        <f>[1]TDSheet!A126</f>
        <v>0</v>
      </c>
      <c r="B125">
        <f>[1]TDSheet!B126</f>
        <v>0</v>
      </c>
      <c r="C125" t="str">
        <f>TEXT([1]TDSheet!C126,"ДД.ММ.ГГГГ")</f>
        <v>00.01.1900</v>
      </c>
      <c r="D125">
        <f>[1]TDSheet!D126</f>
        <v>0</v>
      </c>
      <c r="E125">
        <f>[1]TDSheet!E126</f>
        <v>0</v>
      </c>
      <c r="F125">
        <f>[1]TDSheet!F126</f>
        <v>0</v>
      </c>
      <c r="G125">
        <f>[1]TDSheet!G126</f>
        <v>0</v>
      </c>
      <c r="H125">
        <f>[1]TDSheet!H126</f>
        <v>0</v>
      </c>
      <c r="I125">
        <f>[1]TDSheet!I126</f>
        <v>0</v>
      </c>
      <c r="J125">
        <f>[1]TDSheet!J126</f>
        <v>0</v>
      </c>
      <c r="K125">
        <f>[1]TDSheet!K126</f>
        <v>0</v>
      </c>
      <c r="L125">
        <f>[1]TDSheet!L126</f>
        <v>0</v>
      </c>
      <c r="M125" t="str">
        <f>TEXT([1]TDSheet!M126,"ДД.ММ.ГГГГ")</f>
        <v>00.01.1900</v>
      </c>
      <c r="N125">
        <f>[1]TDSheet!N126</f>
        <v>0</v>
      </c>
      <c r="O125">
        <f>[1]TDSheet!O126</f>
        <v>0</v>
      </c>
      <c r="P125">
        <f>[1]TDSheet!P126</f>
        <v>0</v>
      </c>
      <c r="Q125">
        <f>[1]TDSheet!Q126</f>
        <v>0</v>
      </c>
      <c r="R125">
        <f>[1]TDSheet!R126</f>
        <v>0</v>
      </c>
      <c r="S125">
        <f>[1]TDSheet!S126</f>
        <v>0</v>
      </c>
      <c r="T125">
        <f>[1]TDSheet!T126</f>
        <v>0</v>
      </c>
      <c r="U125">
        <f>[1]TDSheet!U126</f>
        <v>0</v>
      </c>
      <c r="V125">
        <f>[1]TDSheet!V126</f>
        <v>0</v>
      </c>
      <c r="W125">
        <f>[1]TDSheet!W126</f>
        <v>0</v>
      </c>
      <c r="X125">
        <f>[1]TDSheet!X126</f>
        <v>0</v>
      </c>
      <c r="Y125">
        <f>[1]TDSheet!Y126</f>
        <v>0</v>
      </c>
      <c r="Z125">
        <f>[1]TDSheet!Z126</f>
        <v>0</v>
      </c>
      <c r="AA125">
        <f>[1]TDSheet!AA126</f>
        <v>0</v>
      </c>
      <c r="AB125">
        <f>[1]TDSheet!AB126</f>
        <v>0</v>
      </c>
      <c r="AC125">
        <f>[1]TDSheet!AC126</f>
        <v>0</v>
      </c>
      <c r="AD125">
        <f>[1]TDSheet!AD126</f>
        <v>0</v>
      </c>
      <c r="AE125">
        <f>[1]TDSheet!AE126</f>
        <v>0</v>
      </c>
      <c r="AF125">
        <f>[1]TDSheet!AF126</f>
        <v>0</v>
      </c>
      <c r="AG125">
        <f>[1]TDSheet!AG126</f>
        <v>0</v>
      </c>
      <c r="AH125">
        <f>[1]TDSheet!AH126</f>
        <v>0</v>
      </c>
      <c r="AI125">
        <f>[1]TDSheet!AI126</f>
        <v>0</v>
      </c>
      <c r="AJ125">
        <f>[1]TDSheet!AJ126</f>
        <v>0</v>
      </c>
      <c r="AK125">
        <f>[1]TDSheet!AK126</f>
        <v>0</v>
      </c>
      <c r="AL125">
        <f>[1]TDSheet!AL126</f>
        <v>0</v>
      </c>
      <c r="AM125">
        <f>[1]TDSheet!AM126</f>
        <v>0</v>
      </c>
      <c r="AN125">
        <f>[1]TDSheet!AN126</f>
        <v>0</v>
      </c>
      <c r="AO125">
        <f>[1]TDSheet!AO126</f>
        <v>0</v>
      </c>
      <c r="AP125">
        <f>[1]TDSheet!AP126</f>
        <v>0</v>
      </c>
      <c r="AQ125">
        <f>[1]TDSheet!AQ126</f>
        <v>0</v>
      </c>
      <c r="AR125">
        <f>[1]TDSheet!AR126</f>
        <v>0</v>
      </c>
      <c r="AS125">
        <f>[1]TDSheet!AS126</f>
        <v>0</v>
      </c>
      <c r="AT125">
        <f>[1]TDSheet!AT126</f>
        <v>0</v>
      </c>
      <c r="AU125">
        <f>[1]TDSheet!AU126</f>
        <v>0</v>
      </c>
      <c r="AV125">
        <f>[1]TDSheet!AV126</f>
        <v>0</v>
      </c>
      <c r="AW125">
        <f>[1]TDSheet!AW126</f>
        <v>0</v>
      </c>
      <c r="AX125">
        <f>[1]TDSheet!AX126</f>
        <v>0</v>
      </c>
      <c r="AY125">
        <f>[1]TDSheet!AY126</f>
        <v>0</v>
      </c>
      <c r="AZ125">
        <f>[1]TDSheet!AZ126</f>
        <v>0</v>
      </c>
      <c r="BA125">
        <f>[1]TDSheet!BA126</f>
        <v>0</v>
      </c>
      <c r="BB125">
        <f>[1]TDSheet!BB126</f>
        <v>0</v>
      </c>
      <c r="BC125">
        <f>[1]TDSheet!BC126</f>
        <v>0</v>
      </c>
      <c r="BD125">
        <f>[1]TDSheet!BD126</f>
        <v>0</v>
      </c>
      <c r="BE125">
        <f>[1]TDSheet!BE126</f>
        <v>0</v>
      </c>
    </row>
    <row r="126" spans="1:57" x14ac:dyDescent="0.25">
      <c r="A126">
        <f>[1]TDSheet!A127</f>
        <v>0</v>
      </c>
      <c r="B126">
        <f>[1]TDSheet!B127</f>
        <v>0</v>
      </c>
      <c r="C126" t="str">
        <f>TEXT([1]TDSheet!C127,"ДД.ММ.ГГГГ")</f>
        <v>00.01.1900</v>
      </c>
      <c r="D126">
        <f>[1]TDSheet!D127</f>
        <v>0</v>
      </c>
      <c r="E126">
        <f>[1]TDSheet!E127</f>
        <v>0</v>
      </c>
      <c r="F126">
        <f>[1]TDSheet!F127</f>
        <v>0</v>
      </c>
      <c r="G126">
        <f>[1]TDSheet!G127</f>
        <v>0</v>
      </c>
      <c r="H126">
        <f>[1]TDSheet!H127</f>
        <v>0</v>
      </c>
      <c r="I126">
        <f>[1]TDSheet!I127</f>
        <v>0</v>
      </c>
      <c r="J126">
        <f>[1]TDSheet!J127</f>
        <v>0</v>
      </c>
      <c r="K126">
        <f>[1]TDSheet!K127</f>
        <v>0</v>
      </c>
      <c r="L126">
        <f>[1]TDSheet!L127</f>
        <v>0</v>
      </c>
      <c r="M126" t="str">
        <f>TEXT([1]TDSheet!M127,"ДД.ММ.ГГГГ")</f>
        <v>00.01.1900</v>
      </c>
      <c r="N126">
        <f>[1]TDSheet!N127</f>
        <v>0</v>
      </c>
      <c r="O126">
        <f>[1]TDSheet!O127</f>
        <v>0</v>
      </c>
      <c r="P126">
        <f>[1]TDSheet!P127</f>
        <v>0</v>
      </c>
      <c r="Q126">
        <f>[1]TDSheet!Q127</f>
        <v>0</v>
      </c>
      <c r="R126">
        <f>[1]TDSheet!R127</f>
        <v>0</v>
      </c>
      <c r="S126">
        <f>[1]TDSheet!S127</f>
        <v>0</v>
      </c>
      <c r="T126">
        <f>[1]TDSheet!T127</f>
        <v>0</v>
      </c>
      <c r="U126">
        <f>[1]TDSheet!U127</f>
        <v>0</v>
      </c>
      <c r="V126">
        <f>[1]TDSheet!V127</f>
        <v>0</v>
      </c>
      <c r="W126">
        <f>[1]TDSheet!W127</f>
        <v>0</v>
      </c>
      <c r="X126">
        <f>[1]TDSheet!X127</f>
        <v>0</v>
      </c>
      <c r="Y126">
        <f>[1]TDSheet!Y127</f>
        <v>0</v>
      </c>
      <c r="Z126">
        <f>[1]TDSheet!Z127</f>
        <v>0</v>
      </c>
      <c r="AA126">
        <f>[1]TDSheet!AA127</f>
        <v>0</v>
      </c>
      <c r="AB126">
        <f>[1]TDSheet!AB127</f>
        <v>0</v>
      </c>
      <c r="AC126">
        <f>[1]TDSheet!AC127</f>
        <v>0</v>
      </c>
      <c r="AD126">
        <f>[1]TDSheet!AD127</f>
        <v>0</v>
      </c>
      <c r="AE126">
        <f>[1]TDSheet!AE127</f>
        <v>0</v>
      </c>
      <c r="AF126">
        <f>[1]TDSheet!AF127</f>
        <v>0</v>
      </c>
      <c r="AG126">
        <f>[1]TDSheet!AG127</f>
        <v>0</v>
      </c>
      <c r="AH126">
        <f>[1]TDSheet!AH127</f>
        <v>0</v>
      </c>
      <c r="AI126">
        <f>[1]TDSheet!AI127</f>
        <v>0</v>
      </c>
      <c r="AJ126">
        <f>[1]TDSheet!AJ127</f>
        <v>0</v>
      </c>
      <c r="AK126">
        <f>[1]TDSheet!AK127</f>
        <v>0</v>
      </c>
      <c r="AL126">
        <f>[1]TDSheet!AL127</f>
        <v>0</v>
      </c>
      <c r="AM126">
        <f>[1]TDSheet!AM127</f>
        <v>0</v>
      </c>
      <c r="AN126">
        <f>[1]TDSheet!AN127</f>
        <v>0</v>
      </c>
      <c r="AO126">
        <f>[1]TDSheet!AO127</f>
        <v>0</v>
      </c>
      <c r="AP126">
        <f>[1]TDSheet!AP127</f>
        <v>0</v>
      </c>
      <c r="AQ126">
        <f>[1]TDSheet!AQ127</f>
        <v>0</v>
      </c>
      <c r="AR126">
        <f>[1]TDSheet!AR127</f>
        <v>0</v>
      </c>
      <c r="AS126">
        <f>[1]TDSheet!AS127</f>
        <v>0</v>
      </c>
      <c r="AT126">
        <f>[1]TDSheet!AT127</f>
        <v>0</v>
      </c>
      <c r="AU126">
        <f>[1]TDSheet!AU127</f>
        <v>0</v>
      </c>
      <c r="AV126">
        <f>[1]TDSheet!AV127</f>
        <v>0</v>
      </c>
      <c r="AW126">
        <f>[1]TDSheet!AW127</f>
        <v>0</v>
      </c>
      <c r="AX126">
        <f>[1]TDSheet!AX127</f>
        <v>0</v>
      </c>
      <c r="AY126">
        <f>[1]TDSheet!AY127</f>
        <v>0</v>
      </c>
      <c r="AZ126">
        <f>[1]TDSheet!AZ127</f>
        <v>0</v>
      </c>
      <c r="BA126">
        <f>[1]TDSheet!BA127</f>
        <v>0</v>
      </c>
      <c r="BB126">
        <f>[1]TDSheet!BB127</f>
        <v>0</v>
      </c>
      <c r="BC126">
        <f>[1]TDSheet!BC127</f>
        <v>0</v>
      </c>
      <c r="BD126">
        <f>[1]TDSheet!BD127</f>
        <v>0</v>
      </c>
      <c r="BE126">
        <f>[1]TDSheet!BE127</f>
        <v>0</v>
      </c>
    </row>
    <row r="127" spans="1:57" x14ac:dyDescent="0.25">
      <c r="A127">
        <f>[1]TDSheet!A128</f>
        <v>0</v>
      </c>
      <c r="B127">
        <f>[1]TDSheet!B128</f>
        <v>0</v>
      </c>
      <c r="C127" t="str">
        <f>TEXT([1]TDSheet!C128,"ДД.ММ.ГГГГ")</f>
        <v>00.01.1900</v>
      </c>
      <c r="D127">
        <f>[1]TDSheet!D128</f>
        <v>0</v>
      </c>
      <c r="E127">
        <f>[1]TDSheet!E128</f>
        <v>0</v>
      </c>
      <c r="F127">
        <f>[1]TDSheet!F128</f>
        <v>0</v>
      </c>
      <c r="G127">
        <f>[1]TDSheet!G128</f>
        <v>0</v>
      </c>
      <c r="H127">
        <f>[1]TDSheet!H128</f>
        <v>0</v>
      </c>
      <c r="I127">
        <f>[1]TDSheet!I128</f>
        <v>0</v>
      </c>
      <c r="J127">
        <f>[1]TDSheet!J128</f>
        <v>0</v>
      </c>
      <c r="K127">
        <f>[1]TDSheet!K128</f>
        <v>0</v>
      </c>
      <c r="L127">
        <f>[1]TDSheet!L128</f>
        <v>0</v>
      </c>
      <c r="M127" t="str">
        <f>TEXT([1]TDSheet!M128,"ДД.ММ.ГГГГ")</f>
        <v>00.01.1900</v>
      </c>
      <c r="N127">
        <f>[1]TDSheet!N128</f>
        <v>0</v>
      </c>
      <c r="O127">
        <f>[1]TDSheet!O128</f>
        <v>0</v>
      </c>
      <c r="P127">
        <f>[1]TDSheet!P128</f>
        <v>0</v>
      </c>
      <c r="Q127">
        <f>[1]TDSheet!Q128</f>
        <v>0</v>
      </c>
      <c r="R127">
        <f>[1]TDSheet!R128</f>
        <v>0</v>
      </c>
      <c r="S127">
        <f>[1]TDSheet!S128</f>
        <v>0</v>
      </c>
      <c r="T127">
        <f>[1]TDSheet!T128</f>
        <v>0</v>
      </c>
      <c r="U127">
        <f>[1]TDSheet!U128</f>
        <v>0</v>
      </c>
      <c r="V127">
        <f>[1]TDSheet!V128</f>
        <v>0</v>
      </c>
      <c r="W127">
        <f>[1]TDSheet!W128</f>
        <v>0</v>
      </c>
      <c r="X127">
        <f>[1]TDSheet!X128</f>
        <v>0</v>
      </c>
      <c r="Y127">
        <f>[1]TDSheet!Y128</f>
        <v>0</v>
      </c>
      <c r="Z127">
        <f>[1]TDSheet!Z128</f>
        <v>0</v>
      </c>
      <c r="AA127">
        <f>[1]TDSheet!AA128</f>
        <v>0</v>
      </c>
      <c r="AB127">
        <f>[1]TDSheet!AB128</f>
        <v>0</v>
      </c>
      <c r="AC127">
        <f>[1]TDSheet!AC128</f>
        <v>0</v>
      </c>
      <c r="AD127">
        <f>[1]TDSheet!AD128</f>
        <v>0</v>
      </c>
      <c r="AE127">
        <f>[1]TDSheet!AE128</f>
        <v>0</v>
      </c>
      <c r="AF127">
        <f>[1]TDSheet!AF128</f>
        <v>0</v>
      </c>
      <c r="AG127">
        <f>[1]TDSheet!AG128</f>
        <v>0</v>
      </c>
      <c r="AH127">
        <f>[1]TDSheet!AH128</f>
        <v>0</v>
      </c>
      <c r="AI127">
        <f>[1]TDSheet!AI128</f>
        <v>0</v>
      </c>
      <c r="AJ127">
        <f>[1]TDSheet!AJ128</f>
        <v>0</v>
      </c>
      <c r="AK127">
        <f>[1]TDSheet!AK128</f>
        <v>0</v>
      </c>
      <c r="AL127">
        <f>[1]TDSheet!AL128</f>
        <v>0</v>
      </c>
      <c r="AM127">
        <f>[1]TDSheet!AM128</f>
        <v>0</v>
      </c>
      <c r="AN127">
        <f>[1]TDSheet!AN128</f>
        <v>0</v>
      </c>
      <c r="AO127">
        <f>[1]TDSheet!AO128</f>
        <v>0</v>
      </c>
      <c r="AP127">
        <f>[1]TDSheet!AP128</f>
        <v>0</v>
      </c>
      <c r="AQ127">
        <f>[1]TDSheet!AQ128</f>
        <v>0</v>
      </c>
      <c r="AR127">
        <f>[1]TDSheet!AR128</f>
        <v>0</v>
      </c>
      <c r="AS127">
        <f>[1]TDSheet!AS128</f>
        <v>0</v>
      </c>
      <c r="AT127">
        <f>[1]TDSheet!AT128</f>
        <v>0</v>
      </c>
      <c r="AU127">
        <f>[1]TDSheet!AU128</f>
        <v>0</v>
      </c>
      <c r="AV127">
        <f>[1]TDSheet!AV128</f>
        <v>0</v>
      </c>
      <c r="AW127">
        <f>[1]TDSheet!AW128</f>
        <v>0</v>
      </c>
      <c r="AX127">
        <f>[1]TDSheet!AX128</f>
        <v>0</v>
      </c>
      <c r="AY127">
        <f>[1]TDSheet!AY128</f>
        <v>0</v>
      </c>
      <c r="AZ127">
        <f>[1]TDSheet!AZ128</f>
        <v>0</v>
      </c>
      <c r="BA127">
        <f>[1]TDSheet!BA128</f>
        <v>0</v>
      </c>
      <c r="BB127">
        <f>[1]TDSheet!BB128</f>
        <v>0</v>
      </c>
      <c r="BC127">
        <f>[1]TDSheet!BC128</f>
        <v>0</v>
      </c>
      <c r="BD127">
        <f>[1]TDSheet!BD128</f>
        <v>0</v>
      </c>
      <c r="BE127">
        <f>[1]TDSheet!BE128</f>
        <v>0</v>
      </c>
    </row>
    <row r="128" spans="1:57" x14ac:dyDescent="0.25">
      <c r="A128">
        <f>[1]TDSheet!A129</f>
        <v>0</v>
      </c>
      <c r="B128">
        <f>[1]TDSheet!B129</f>
        <v>0</v>
      </c>
      <c r="C128" t="str">
        <f>TEXT([1]TDSheet!C129,"ДД.ММ.ГГГГ")</f>
        <v>00.01.1900</v>
      </c>
      <c r="D128">
        <f>[1]TDSheet!D129</f>
        <v>0</v>
      </c>
      <c r="E128">
        <f>[1]TDSheet!E129</f>
        <v>0</v>
      </c>
      <c r="F128">
        <f>[1]TDSheet!F129</f>
        <v>0</v>
      </c>
      <c r="G128">
        <f>[1]TDSheet!G129</f>
        <v>0</v>
      </c>
      <c r="H128">
        <f>[1]TDSheet!H129</f>
        <v>0</v>
      </c>
      <c r="I128">
        <f>[1]TDSheet!I129</f>
        <v>0</v>
      </c>
      <c r="J128">
        <f>[1]TDSheet!J129</f>
        <v>0</v>
      </c>
      <c r="K128">
        <f>[1]TDSheet!K129</f>
        <v>0</v>
      </c>
      <c r="L128">
        <f>[1]TDSheet!L129</f>
        <v>0</v>
      </c>
      <c r="M128" t="str">
        <f>TEXT([1]TDSheet!M129,"ДД.ММ.ГГГГ")</f>
        <v>00.01.1900</v>
      </c>
      <c r="N128">
        <f>[1]TDSheet!N129</f>
        <v>0</v>
      </c>
      <c r="O128">
        <f>[1]TDSheet!O129</f>
        <v>0</v>
      </c>
      <c r="P128">
        <f>[1]TDSheet!P129</f>
        <v>0</v>
      </c>
      <c r="Q128">
        <f>[1]TDSheet!Q129</f>
        <v>0</v>
      </c>
      <c r="R128">
        <f>[1]TDSheet!R129</f>
        <v>0</v>
      </c>
      <c r="S128">
        <f>[1]TDSheet!S129</f>
        <v>0</v>
      </c>
      <c r="T128">
        <f>[1]TDSheet!T129</f>
        <v>0</v>
      </c>
      <c r="U128">
        <f>[1]TDSheet!U129</f>
        <v>0</v>
      </c>
      <c r="V128">
        <f>[1]TDSheet!V129</f>
        <v>0</v>
      </c>
      <c r="W128">
        <f>[1]TDSheet!W129</f>
        <v>0</v>
      </c>
      <c r="X128">
        <f>[1]TDSheet!X129</f>
        <v>0</v>
      </c>
      <c r="Y128">
        <f>[1]TDSheet!Y129</f>
        <v>0</v>
      </c>
      <c r="Z128">
        <f>[1]TDSheet!Z129</f>
        <v>0</v>
      </c>
      <c r="AA128">
        <f>[1]TDSheet!AA129</f>
        <v>0</v>
      </c>
      <c r="AB128">
        <f>[1]TDSheet!AB129</f>
        <v>0</v>
      </c>
      <c r="AC128">
        <f>[1]TDSheet!AC129</f>
        <v>0</v>
      </c>
      <c r="AD128">
        <f>[1]TDSheet!AD129</f>
        <v>0</v>
      </c>
      <c r="AE128">
        <f>[1]TDSheet!AE129</f>
        <v>0</v>
      </c>
      <c r="AF128">
        <f>[1]TDSheet!AF129</f>
        <v>0</v>
      </c>
      <c r="AG128">
        <f>[1]TDSheet!AG129</f>
        <v>0</v>
      </c>
      <c r="AH128">
        <f>[1]TDSheet!AH129</f>
        <v>0</v>
      </c>
      <c r="AI128">
        <f>[1]TDSheet!AI129</f>
        <v>0</v>
      </c>
      <c r="AJ128">
        <f>[1]TDSheet!AJ129</f>
        <v>0</v>
      </c>
      <c r="AK128">
        <f>[1]TDSheet!AK129</f>
        <v>0</v>
      </c>
      <c r="AL128">
        <f>[1]TDSheet!AL129</f>
        <v>0</v>
      </c>
      <c r="AM128">
        <f>[1]TDSheet!AM129</f>
        <v>0</v>
      </c>
      <c r="AN128">
        <f>[1]TDSheet!AN129</f>
        <v>0</v>
      </c>
      <c r="AO128">
        <f>[1]TDSheet!AO129</f>
        <v>0</v>
      </c>
      <c r="AP128">
        <f>[1]TDSheet!AP129</f>
        <v>0</v>
      </c>
      <c r="AQ128">
        <f>[1]TDSheet!AQ129</f>
        <v>0</v>
      </c>
      <c r="AR128">
        <f>[1]TDSheet!AR129</f>
        <v>0</v>
      </c>
      <c r="AS128">
        <f>[1]TDSheet!AS129</f>
        <v>0</v>
      </c>
      <c r="AT128">
        <f>[1]TDSheet!AT129</f>
        <v>0</v>
      </c>
      <c r="AU128">
        <f>[1]TDSheet!AU129</f>
        <v>0</v>
      </c>
      <c r="AV128">
        <f>[1]TDSheet!AV129</f>
        <v>0</v>
      </c>
      <c r="AW128">
        <f>[1]TDSheet!AW129</f>
        <v>0</v>
      </c>
      <c r="AX128">
        <f>[1]TDSheet!AX129</f>
        <v>0</v>
      </c>
      <c r="AY128">
        <f>[1]TDSheet!AY129</f>
        <v>0</v>
      </c>
      <c r="AZ128">
        <f>[1]TDSheet!AZ129</f>
        <v>0</v>
      </c>
      <c r="BA128">
        <f>[1]TDSheet!BA129</f>
        <v>0</v>
      </c>
      <c r="BB128">
        <f>[1]TDSheet!BB129</f>
        <v>0</v>
      </c>
      <c r="BC128">
        <f>[1]TDSheet!BC129</f>
        <v>0</v>
      </c>
      <c r="BD128">
        <f>[1]TDSheet!BD129</f>
        <v>0</v>
      </c>
      <c r="BE128">
        <f>[1]TDSheet!BE129</f>
        <v>0</v>
      </c>
    </row>
    <row r="129" spans="54:54" x14ac:dyDescent="0.25">
      <c r="BB129">
        <f>[1]TDSheet!BB130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Деньги</vt:lpstr>
      <vt:lpstr>Данные</vt:lpstr>
      <vt:lpstr>Деньги!Область_печати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Инна</dc:creator>
  <cp:lastModifiedBy>Admin</cp:lastModifiedBy>
  <cp:lastPrinted>2022-06-02T11:43:38Z</cp:lastPrinted>
  <dcterms:created xsi:type="dcterms:W3CDTF">2022-02-21T06:25:39Z</dcterms:created>
  <dcterms:modified xsi:type="dcterms:W3CDTF">2022-06-02T12:11:03Z</dcterms:modified>
</cp:coreProperties>
</file>